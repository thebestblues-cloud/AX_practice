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공헌이익" sheetId="1" state="visible" r:id="rId3"/>
    <sheet name="출고" sheetId="2" state="visible" r:id="rId4"/>
    <sheet name="반품" sheetId="3" state="visible" r:id="rId5"/>
    <sheet name="마스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<sst xmlns="http://schemas.openxmlformats.org/spreadsheetml/2006/main" count="6301" uniqueCount="142">
  <si>
    <t xml:space="preserve">거래처</t>
  </si>
  <si>
    <t xml:space="preserve">출고액</t>
  </si>
  <si>
    <t xml:space="preserve">반품액</t>
  </si>
  <si>
    <t xml:space="preserve">출고원가</t>
  </si>
  <si>
    <t xml:space="preserve">재판매가능원가</t>
  </si>
  <si>
    <t xml:space="preserve">반품부수</t>
  </si>
  <si>
    <t xml:space="preserve">출고부수</t>
  </si>
  <si>
    <t xml:space="preserve">재판매불가부수</t>
  </si>
  <si>
    <r>
      <rPr>
        <sz val="11"/>
        <color theme="1"/>
        <rFont val="WenQuanYi Zen Hei"/>
        <family val="2"/>
      </rPr>
      <t xml:space="preserve">공헌이익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수식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</si>
  <si>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공헌이익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대시보드</t>
    </r>
    <r>
      <rPr>
        <sz val="11"/>
        <color theme="1"/>
        <rFont val="Calibri"/>
        <family val="2"/>
        <charset val="1"/>
      </rPr>
      <t xml:space="preserve">)</t>
    </r>
  </si>
  <si>
    <t xml:space="preserve">차이</t>
  </si>
  <si>
    <r>
      <rPr>
        <sz val="11"/>
        <color theme="1"/>
        <rFont val="WenQuanYi Zen Hei"/>
        <family val="2"/>
      </rPr>
      <t xml:space="preserve">손익분기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수식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</si>
  <si>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손익분기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대시보드</t>
    </r>
    <r>
      <rPr>
        <sz val="11"/>
        <color theme="1"/>
        <rFont val="Calibri"/>
        <family val="2"/>
        <charset val="1"/>
      </rPr>
      <t xml:space="preserve">)</t>
    </r>
  </si>
  <si>
    <t xml:space="preserve">물류비</t>
  </si>
  <si>
    <t xml:space="preserve">한솔북센</t>
  </si>
  <si>
    <t xml:space="preserve">대명서적유통</t>
  </si>
  <si>
    <t xml:space="preserve">북웨이브몰</t>
  </si>
  <si>
    <t xml:space="preserve">남강교재총판</t>
  </si>
  <si>
    <t xml:space="preserve">페이지온몰</t>
  </si>
  <si>
    <t xml:space="preserve">세림북유통</t>
  </si>
  <si>
    <t xml:space="preserve">하루책방닷컴</t>
  </si>
  <si>
    <t xml:space="preserve">책마루서점</t>
  </si>
  <si>
    <t xml:space="preserve">글벗문고</t>
  </si>
  <si>
    <t xml:space="preserve">한빛서림</t>
  </si>
  <si>
    <t xml:space="preserve">청람서점</t>
  </si>
  <si>
    <t xml:space="preserve">다온북스</t>
  </si>
  <si>
    <t xml:space="preserve">월</t>
  </si>
  <si>
    <t xml:space="preserve">거래처명</t>
  </si>
  <si>
    <t xml:space="preserve">시리즈명</t>
  </si>
  <si>
    <t xml:space="preserve">공급단가</t>
  </si>
  <si>
    <t xml:space="preserve">제작원가</t>
  </si>
  <si>
    <t xml:space="preserve">2024-01</t>
  </si>
  <si>
    <r>
      <rPr>
        <sz val="11"/>
        <color theme="1"/>
        <rFont val="WenQuanYi Zen Hei"/>
        <family val="2"/>
      </rPr>
      <t xml:space="preserve">개념단단 사회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</si>
  <si>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기출정복 수학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</si>
  <si>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국어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</si>
  <si>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첫걸음 수학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</si>
  <si>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첫걸음 영어 초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</si>
  <si>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개념단단 국어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</si>
  <si>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개념단단 수학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</si>
  <si>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국어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</si>
  <si>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한권끝 영어 초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</si>
  <si>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개념단단 영어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</si>
  <si>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수학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</si>
  <si>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과학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</si>
  <si>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첫걸음 수학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</si>
  <si>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개념단단 국어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</si>
  <si>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기출정복 영어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</si>
  <si>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한권끝 수학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</si>
  <si>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실전만점 수학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</si>
  <si>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개념단단 국어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</si>
  <si>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기출정복 사회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</si>
  <si>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영어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</si>
  <si>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첫걸음 영어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</si>
  <si>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기출정복 국어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</si>
  <si>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과학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</si>
  <si>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실전만점 영어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</si>
  <si>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완성노트 국어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</si>
  <si>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한권끝 영어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</si>
  <si>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개념단단 수학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</si>
  <si>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기출정복 수학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</si>
  <si>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기출정복 영어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</si>
  <si>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개념단단 수학 중</t>
    </r>
    <r>
      <rPr>
        <sz val="11"/>
        <color theme="1"/>
        <rFont val="Calibri"/>
        <family val="2"/>
        <charset val="1"/>
      </rPr>
      <t xml:space="preserve">1</t>
    </r>
  </si>
  <si>
    <t xml:space="preserve">2024-02</t>
  </si>
  <si>
    <r>
      <rPr>
        <sz val="11"/>
        <color theme="1"/>
        <rFont val="WenQuanYi Zen Hei"/>
        <family val="2"/>
      </rPr>
      <t xml:space="preserve">개념단단 영어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</si>
  <si>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실전만점 과학 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</si>
  <si>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실전만점 국어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</si>
  <si>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수학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</si>
  <si>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한권끝 과학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</si>
  <si>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한권끝 수학 초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</si>
  <si>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기출정복 과학 고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</si>
  <si>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개념단단 사회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</si>
  <si>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한권끝 국어 초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</si>
  <si>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완성노트 수학 중</t>
    </r>
    <r>
      <rPr>
        <sz val="11"/>
        <color theme="1"/>
        <rFont val="Calibri"/>
        <family val="2"/>
        <charset val="1"/>
      </rPr>
      <t xml:space="preserve">2</t>
    </r>
  </si>
  <si>
    <t xml:space="preserve">2024-03</t>
  </si>
  <si>
    <r>
      <rPr>
        <sz val="11"/>
        <color theme="1"/>
        <rFont val="WenQuanYi Zen Hei"/>
        <family val="2"/>
      </rPr>
      <t xml:space="preserve">개념단단 사회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</si>
  <si>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영어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</si>
  <si>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첫걸음 수학 초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</si>
  <si>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WenQuanYi Zen Hei"/>
        <family val="2"/>
      </rPr>
      <t xml:space="preserve">개념단단 영어 중</t>
    </r>
    <r>
      <rPr>
        <sz val="11"/>
        <color theme="1"/>
        <rFont val="Calibri"/>
        <family val="2"/>
        <charset val="1"/>
      </rPr>
      <t xml:space="preserve">2</t>
    </r>
  </si>
  <si>
    <t xml:space="preserve">2024-04</t>
  </si>
  <si>
    <r>
      <rPr>
        <sz val="11"/>
        <color theme="1"/>
        <rFont val="WenQuanYi Zen Hei"/>
        <family val="2"/>
      </rPr>
      <t xml:space="preserve">개념단단 과학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</si>
  <si>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한권끝 국어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</si>
  <si>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완성노트 국어 중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</si>
  <si>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개념단단 과학 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</si>
  <si>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한권끝 사회 초</t>
    </r>
    <r>
      <rPr>
        <sz val="11"/>
        <color theme="1"/>
        <rFont val="Calibri"/>
        <family val="2"/>
        <charset val="1"/>
      </rPr>
      <t xml:space="preserve">6</t>
    </r>
  </si>
  <si>
    <t xml:space="preserve">2024-05</t>
  </si>
  <si>
    <r>
      <rPr>
        <sz val="11"/>
        <color theme="1"/>
        <rFont val="WenQuanYi Zen Hei"/>
        <family val="2"/>
      </rPr>
      <t xml:space="preserve">첫걸음 영어 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</si>
  <si>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기출정복 국어 고</t>
    </r>
    <r>
      <rPr>
        <sz val="11"/>
        <color theme="1"/>
        <rFont val="Calibri"/>
        <family val="2"/>
        <charset val="1"/>
      </rPr>
      <t xml:space="preserve">2</t>
    </r>
  </si>
  <si>
    <t xml:space="preserve">2024-06</t>
  </si>
  <si>
    <r>
      <rPr>
        <sz val="11"/>
        <color theme="1"/>
        <rFont val="WenQuanYi Zen Hei"/>
        <family val="2"/>
      </rPr>
      <t xml:space="preserve">첫걸음 수학 중</t>
    </r>
    <r>
      <rPr>
        <sz val="11"/>
        <color theme="1"/>
        <rFont val="Calibri"/>
        <family val="2"/>
        <charset val="1"/>
      </rPr>
      <t xml:space="preserve">1</t>
    </r>
  </si>
  <si>
    <t xml:space="preserve">2024-07</t>
  </si>
  <si>
    <r>
      <rPr>
        <sz val="11"/>
        <color theme="1"/>
        <rFont val="WenQuanYi Zen Hei"/>
        <family val="2"/>
      </rPr>
      <t xml:space="preserve">완성노트 영어 중</t>
    </r>
    <r>
      <rPr>
        <sz val="11"/>
        <color theme="1"/>
        <rFont val="Calibri"/>
        <family val="2"/>
        <charset val="1"/>
      </rPr>
      <t xml:space="preserve">3</t>
    </r>
  </si>
  <si>
    <t xml:space="preserve">2024-08</t>
  </si>
  <si>
    <r>
      <rPr>
        <sz val="11"/>
        <color theme="1"/>
        <rFont val="WenQuanYi Zen Hei"/>
        <family val="2"/>
      </rPr>
      <t xml:space="preserve">완성노트 수학 중</t>
    </r>
    <r>
      <rPr>
        <sz val="11"/>
        <color theme="1"/>
        <rFont val="Calibri"/>
        <family val="2"/>
        <charset val="1"/>
      </rPr>
      <t xml:space="preserve">1</t>
    </r>
  </si>
  <si>
    <t xml:space="preserve">2024-09</t>
  </si>
  <si>
    <t xml:space="preserve">2024-10</t>
  </si>
  <si>
    <r>
      <rPr>
        <sz val="11"/>
        <color theme="1"/>
        <rFont val="WenQuanYi Zen Hei"/>
        <family val="2"/>
      </rPr>
      <t xml:space="preserve">한권끝 사회 초</t>
    </r>
    <r>
      <rPr>
        <sz val="11"/>
        <color theme="1"/>
        <rFont val="Calibri"/>
        <family val="2"/>
        <charset val="1"/>
      </rPr>
      <t xml:space="preserve">5</t>
    </r>
  </si>
  <si>
    <t xml:space="preserve">2024-11</t>
  </si>
  <si>
    <t xml:space="preserve">2024-12</t>
  </si>
  <si>
    <t xml:space="preserve">2025-01</t>
  </si>
  <si>
    <r>
      <rPr>
        <sz val="11"/>
        <color theme="1"/>
        <rFont val="WenQuanYi Zen Hei"/>
        <family val="2"/>
      </rPr>
      <t xml:space="preserve">개념단단 과학 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</si>
  <si>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완성노트 과학 중</t>
    </r>
    <r>
      <rPr>
        <sz val="11"/>
        <color theme="1"/>
        <rFont val="Calibri"/>
        <family val="2"/>
        <charset val="1"/>
      </rPr>
      <t xml:space="preserve">2</t>
    </r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</si>
  <si>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</si>
  <si>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</si>
  <si>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</si>
  <si>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</si>
  <si>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</si>
  <si>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</si>
  <si>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</si>
  <si>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r>
      <rPr>
        <sz val="11"/>
        <color theme="1"/>
        <rFont val="WenQuanYi Zen Hei"/>
        <family val="2"/>
      </rPr>
      <t xml:space="preserve">기출정복 과학 고</t>
    </r>
    <r>
      <rPr>
        <sz val="11"/>
        <color theme="1"/>
        <rFont val="Calibri"/>
        <family val="2"/>
        <charset val="1"/>
      </rPr>
      <t xml:space="preserve">1</t>
    </r>
  </si>
  <si>
    <t xml:space="preserve">2025-09</t>
  </si>
  <si>
    <t xml:space="preserve">2025-10</t>
  </si>
  <si>
    <t xml:space="preserve">2025-11</t>
  </si>
  <si>
    <r>
      <rPr>
        <sz val="11"/>
        <color theme="1"/>
        <rFont val="WenQuanYi Zen Hei"/>
        <family val="2"/>
      </rPr>
      <t xml:space="preserve">기출정복 사회 고</t>
    </r>
    <r>
      <rPr>
        <sz val="11"/>
        <color theme="1"/>
        <rFont val="Calibri"/>
        <family val="2"/>
        <charset val="1"/>
      </rPr>
      <t xml:space="preserve">2</t>
    </r>
  </si>
  <si>
    <t xml:space="preserve">2025-12</t>
  </si>
  <si>
    <t xml:space="preserve">반품사유</t>
  </si>
  <si>
    <t xml:space="preserve">단가</t>
  </si>
  <si>
    <t xml:space="preserve">기간만료반품</t>
  </si>
  <si>
    <t xml:space="preserve">재고조정</t>
  </si>
  <si>
    <t xml:space="preserve">파본</t>
  </si>
  <si>
    <t xml:space="preserve">오배송</t>
  </si>
  <si>
    <t xml:space="preserve">개정판교체</t>
  </si>
  <si>
    <t xml:space="preserve">과목</t>
  </si>
  <si>
    <t xml:space="preserve">학년</t>
  </si>
  <si>
    <r>
      <rPr>
        <sz val="11"/>
        <color theme="1"/>
        <rFont val="WenQuanYi Zen Hei"/>
        <family val="2"/>
      </rPr>
      <t xml:space="preserve">정가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원</t>
    </r>
  </si>
  <si>
    <r>
      <rPr>
        <sz val="11"/>
        <color theme="1"/>
        <rFont val="WenQuanYi Zen Hei"/>
        <family val="2"/>
      </rPr>
      <t xml:space="preserve">제작원가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WenQuanYi Zen Hei"/>
        <family val="2"/>
      </rPr>
      <t xml:space="preserve">원부</t>
    </r>
  </si>
  <si>
    <t xml:space="preserve">개정판출간월</t>
  </si>
  <si>
    <t xml:space="preserve">국어</t>
  </si>
  <si>
    <r>
      <rPr>
        <sz val="11"/>
        <color theme="1"/>
        <rFont val="WenQuanYi Zen Hei"/>
        <family val="2"/>
      </rPr>
      <t xml:space="preserve">중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</si>
  <si>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중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</si>
  <si>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중</t>
    </r>
    <r>
      <rPr>
        <sz val="11"/>
        <color theme="1"/>
        <rFont val="Calibri"/>
        <family val="2"/>
        <charset val="1"/>
      </rPr>
      <t xml:space="preserve">3</t>
    </r>
  </si>
  <si>
    <t xml:space="preserve">영어</t>
  </si>
  <si>
    <t xml:space="preserve">수학</t>
  </si>
  <si>
    <t xml:space="preserve">사회</t>
  </si>
  <si>
    <t xml:space="preserve">과학</t>
  </si>
  <si>
    <r>
      <rPr>
        <sz val="11"/>
        <color theme="1"/>
        <rFont val="WenQuanYi Zen Hei"/>
        <family val="2"/>
      </rPr>
      <t xml:space="preserve">초</t>
    </r>
    <r>
      <rPr>
        <sz val="11"/>
        <color theme="1"/>
        <rFont val="Calibri"/>
        <family val="2"/>
        <charset val="1"/>
      </rPr>
      <t xml:space="preserve">5</t>
    </r>
  </si>
  <si>
    <t xml:space="preserve">2023-09</t>
  </si>
  <si>
    <r>
      <rPr>
        <sz val="11"/>
        <color theme="1"/>
        <rFont val="WenQuanYi Zen Hei"/>
        <family val="2"/>
      </rPr>
      <t xml:space="preserve">초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</si>
  <si>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WenQuanYi Zen Hei"/>
        <family val="2"/>
      </rPr>
      <t xml:space="preserve">한권끝 과학 초</t>
    </r>
    <r>
      <rPr>
        <sz val="11"/>
        <color theme="1"/>
        <rFont val="Calibri"/>
        <family val="2"/>
        <charset val="1"/>
      </rPr>
      <t xml:space="preserve">5</t>
    </r>
  </si>
  <si>
    <t xml:space="preserve">2026-03</t>
  </si>
  <si>
    <r>
      <rPr>
        <sz val="11"/>
        <color theme="1"/>
        <rFont val="WenQuanYi Zen Hei"/>
        <family val="2"/>
      </rPr>
      <t xml:space="preserve">고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</si>
  <si>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고</t>
    </r>
    <r>
      <rPr>
        <sz val="11"/>
        <color theme="1"/>
        <rFont val="Calibri"/>
        <family val="2"/>
        <charset val="1"/>
      </rPr>
      <t xml:space="preserve">2</t>
    </r>
  </si>
  <si>
    <t xml:space="preserve">2026-01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</si>
</sst>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</v>
      </c>
      <c r="O1" s="1" t="s">
        <v>13</v>
      </c>
    </row>
    <row r="2" customFormat="false" ht="15" hidden="false" customHeight="false" outlineLevel="0" collapsed="false">
      <c r="A2" s="1" t="s">
        <v>14</v>
      </c>
      <c r="B2" s="0" t="n">
        <f aca="false">SUMIFS(출고!F:F,출고!B:B,A2)</f>
        <v>11421191000</v>
      </c>
      <c r="C2" s="0" t="n">
        <f aca="false">SUMIFS(반품!G:G,반품!B:B,A2)</f>
        <v>4246114888.15569</v>
      </c>
      <c r="D2" s="0" t="n">
        <f aca="false">SUMIFS(출고!H:H,출고!B:B,A2)</f>
        <v>5959374400</v>
      </c>
      <c r="E2" s="0" t="n">
        <f aca="false">SUMIFS(반품!I:I,반품!B:B,A2)</f>
        <v>1534822210</v>
      </c>
      <c r="F2" s="0" t="n">
        <f aca="false">SUMIFS(반품!D:D,반품!B:B,A2)</f>
        <v>381708</v>
      </c>
      <c r="G2" s="0" t="n">
        <f aca="false">SUMIFS(출고!D:D,출고!B:B,A2)</f>
        <v>1014080</v>
      </c>
      <c r="H2" s="0" t="n">
        <f aca="false">SUMIFS(반품!D:D,반품!B:B,A2,반품!E:E,"개정판교체")+SUMIFS(반품!D:D,반품!B:B,A2,반품!E:E,"파본")</f>
        <v>112587</v>
      </c>
      <c r="I2" s="0" t="n">
        <f aca="false">B2-C2-(D2-E2)-F2*$O$2</f>
        <v>2216132721.84431</v>
      </c>
      <c r="J2" s="0" t="n">
        <v>2216132721.84432</v>
      </c>
      <c r="K2" s="0" t="n">
        <f aca="false">I2-J2</f>
        <v>0</v>
      </c>
      <c r="L2" s="0" t="n">
        <f aca="false">(B2/G2-D2/G2)/(B2/G2-D2/G2+$O$2+H2/F2*D2/G2)</f>
        <v>0.632207322790081</v>
      </c>
      <c r="M2" s="0" t="n">
        <v>0.632207322790081</v>
      </c>
      <c r="N2" s="0" t="n">
        <f aca="false">L2-M2</f>
        <v>0</v>
      </c>
      <c r="O2" s="0" t="n">
        <v>1400</v>
      </c>
    </row>
    <row r="3" customFormat="false" ht="15" hidden="false" customHeight="false" outlineLevel="0" collapsed="false">
      <c r="A3" s="1" t="s">
        <v>15</v>
      </c>
      <c r="B3" s="0" t="n">
        <f aca="false">SUMIFS(출고!F:F,출고!B:B,A3)</f>
        <v>10389744900</v>
      </c>
      <c r="C3" s="0" t="n">
        <f aca="false">SUMIFS(반품!G:G,반품!B:B,A3)</f>
        <v>1361114875.36214</v>
      </c>
      <c r="D3" s="0" t="n">
        <f aca="false">SUMIFS(출고!H:H,출고!B:B,A3)</f>
        <v>5389073600</v>
      </c>
      <c r="E3" s="0" t="n">
        <f aca="false">SUMIFS(반품!I:I,반품!B:B,A3)</f>
        <v>349608690</v>
      </c>
      <c r="F3" s="0" t="n">
        <f aca="false">SUMIFS(반품!D:D,반품!B:B,A3)</f>
        <v>124449</v>
      </c>
      <c r="G3" s="0" t="n">
        <f aca="false">SUMIFS(출고!D:D,출고!B:B,A3)</f>
        <v>931140</v>
      </c>
      <c r="H3" s="0" t="n">
        <f aca="false">SUMIFS(반품!D:D,반품!B:B,A3,반품!E:E,"개정판교체")+SUMIFS(반품!D:D,반품!B:B,A3,반품!E:E,"파본")</f>
        <v>60681</v>
      </c>
      <c r="I3" s="0" t="n">
        <f aca="false">B3-C3-(D3-E3)-F3*$O$2</f>
        <v>3814936514.63786</v>
      </c>
      <c r="J3" s="0" t="n">
        <v>3814936514.63786</v>
      </c>
      <c r="K3" s="0" t="n">
        <f aca="false">I3-J3</f>
        <v>0</v>
      </c>
      <c r="L3" s="0" t="n">
        <f aca="false">(B3/G3-D3/G3)/(B3/G3-D3/G3+$O$2+H3/F3*D3/G3)</f>
        <v>0.559862380986291</v>
      </c>
      <c r="M3" s="0" t="n">
        <v>0.55986238098629</v>
      </c>
      <c r="N3" s="0" t="n">
        <f aca="false">L3-M3</f>
        <v>0</v>
      </c>
    </row>
    <row r="4" customFormat="false" ht="15" hidden="false" customHeight="false" outlineLevel="0" collapsed="false">
      <c r="A4" s="1" t="s">
        <v>16</v>
      </c>
      <c r="B4" s="0" t="n">
        <f aca="false">SUMIFS(출고!F:F,출고!B:B,A4)</f>
        <v>8746881600</v>
      </c>
      <c r="C4" s="0" t="n">
        <f aca="false">SUMIFS(반품!G:G,반품!B:B,A4)</f>
        <v>731413114.220277</v>
      </c>
      <c r="D4" s="0" t="n">
        <f aca="false">SUMIFS(출고!H:H,출고!B:B,A4)</f>
        <v>4171004900</v>
      </c>
      <c r="E4" s="0" t="n">
        <f aca="false">SUMIFS(반품!I:I,반품!B:B,A4)</f>
        <v>176243150</v>
      </c>
      <c r="F4" s="0" t="n">
        <f aca="false">SUMIFS(반품!D:D,반품!B:B,A4)</f>
        <v>60010</v>
      </c>
      <c r="G4" s="0" t="n">
        <f aca="false">SUMIFS(출고!D:D,출고!B:B,A4)</f>
        <v>711550</v>
      </c>
      <c r="H4" s="0" t="n">
        <f aca="false">SUMIFS(반품!D:D,반품!B:B,A4,반품!E:E,"개정판교체")+SUMIFS(반품!D:D,반품!B:B,A4,반품!E:E,"파본")</f>
        <v>29547</v>
      </c>
      <c r="I4" s="0" t="n">
        <f aca="false">B4-C4-(D4-E4)-F4*$O$2</f>
        <v>3936692735.77972</v>
      </c>
      <c r="J4" s="0" t="n">
        <v>3936692735.77972</v>
      </c>
      <c r="K4" s="0" t="n">
        <f aca="false">I4-J4</f>
        <v>0</v>
      </c>
      <c r="L4" s="0" t="n">
        <f aca="false">(B4/G4-D4/G4)/(B4/G4-D4/G4+$O$2+H4/F4*D4/G4)</f>
        <v>0.600058647492</v>
      </c>
      <c r="M4" s="0" t="n">
        <v>0.600058647492</v>
      </c>
      <c r="N4" s="0" t="n">
        <f aca="false">L4-M4</f>
        <v>0</v>
      </c>
    </row>
    <row r="5" customFormat="false" ht="15" hidden="false" customHeight="false" outlineLevel="0" collapsed="false">
      <c r="A5" s="1" t="s">
        <v>17</v>
      </c>
      <c r="B5" s="0" t="n">
        <f aca="false">SUMIFS(출고!F:F,출고!B:B,A5)</f>
        <v>6692673900</v>
      </c>
      <c r="C5" s="0" t="n">
        <f aca="false">SUMIFS(반품!G:G,반품!B:B,A5)</f>
        <v>929602875.589252</v>
      </c>
      <c r="D5" s="0" t="n">
        <f aca="false">SUMIFS(출고!H:H,출고!B:B,A5)</f>
        <v>3510146100</v>
      </c>
      <c r="E5" s="0" t="n">
        <f aca="false">SUMIFS(반품!I:I,반품!B:B,A5)</f>
        <v>259410200</v>
      </c>
      <c r="F5" s="0" t="n">
        <f aca="false">SUMIFS(반품!D:D,반품!B:B,A5)</f>
        <v>84253</v>
      </c>
      <c r="G5" s="0" t="n">
        <f aca="false">SUMIFS(출고!D:D,출고!B:B,A5)</f>
        <v>592670</v>
      </c>
      <c r="H5" s="0" t="n">
        <f aca="false">SUMIFS(반품!D:D,반품!B:B,A5,반품!E:E,"개정판교체")+SUMIFS(반품!D:D,반품!B:B,A5,반품!E:E,"파본")</f>
        <v>38504</v>
      </c>
      <c r="I5" s="0" t="n">
        <f aca="false">B5-C5-(D5-E5)-F5*$O$2</f>
        <v>2394380924.41075</v>
      </c>
      <c r="J5" s="0" t="n">
        <v>2394380924.41075</v>
      </c>
      <c r="K5" s="0" t="n">
        <f aca="false">I5-J5</f>
        <v>0</v>
      </c>
      <c r="L5" s="0" t="n">
        <f aca="false">(B5/G5-D5/G5)/(B5/G5-D5/G5+$O$2+H5/F5*D5/G5)</f>
        <v>0.56664721133188</v>
      </c>
      <c r="M5" s="0" t="n">
        <v>0.56664721133188</v>
      </c>
      <c r="N5" s="0" t="n">
        <f aca="false">L5-M5</f>
        <v>0</v>
      </c>
    </row>
    <row r="6" customFormat="false" ht="15" hidden="false" customHeight="false" outlineLevel="0" collapsed="false">
      <c r="A6" s="1" t="s">
        <v>18</v>
      </c>
      <c r="B6" s="0" t="n">
        <f aca="false">SUMIFS(출고!F:F,출고!B:B,A6)</f>
        <v>6153188800</v>
      </c>
      <c r="C6" s="0" t="n">
        <f aca="false">SUMIFS(반품!G:G,반품!B:B,A6)</f>
        <v>365253139.54988</v>
      </c>
      <c r="D6" s="0" t="n">
        <f aca="false">SUMIFS(출고!H:H,출고!B:B,A6)</f>
        <v>2970551300</v>
      </c>
      <c r="E6" s="0" t="n">
        <f aca="false">SUMIFS(반품!I:I,반품!B:B,A6)</f>
        <v>141891700</v>
      </c>
      <c r="F6" s="0" t="n">
        <f aca="false">SUMIFS(반품!D:D,반품!B:B,A6)</f>
        <v>28865</v>
      </c>
      <c r="G6" s="0" t="n">
        <f aca="false">SUMIFS(출고!D:D,출고!B:B,A6)</f>
        <v>487920</v>
      </c>
      <c r="H6" s="0" t="n">
        <f aca="false">SUMIFS(반품!D:D,반품!B:B,A6,반품!E:E,"개정판교체")+SUMIFS(반품!D:D,반품!B:B,A6,반품!E:E,"파본")</f>
        <v>5390</v>
      </c>
      <c r="I6" s="0" t="n">
        <f aca="false">B6-C6-(D6-E6)-F6*$O$2</f>
        <v>2918865060.45012</v>
      </c>
      <c r="J6" s="0" t="n">
        <v>2918865060.45012</v>
      </c>
      <c r="K6" s="0" t="n">
        <f aca="false">I6-J6</f>
        <v>0</v>
      </c>
      <c r="L6" s="0" t="n">
        <f aca="false">(B6/G6-D6/G6)/(B6/G6-D6/G6+$O$2+H6/F6*D6/G6)</f>
        <v>0.719985234825253</v>
      </c>
      <c r="M6" s="0" t="n">
        <v>0.719985234825253</v>
      </c>
      <c r="N6" s="0" t="n">
        <f aca="false">L6-M6</f>
        <v>0</v>
      </c>
    </row>
    <row r="7" customFormat="false" ht="15" hidden="false" customHeight="false" outlineLevel="0" collapsed="false">
      <c r="A7" s="1" t="s">
        <v>19</v>
      </c>
      <c r="B7" s="0" t="n">
        <f aca="false">SUMIFS(출고!F:F,출고!B:B,A7)</f>
        <v>4702313300</v>
      </c>
      <c r="C7" s="0" t="n">
        <f aca="false">SUMIFS(반품!G:G,반품!B:B,A7)</f>
        <v>445906569.453535</v>
      </c>
      <c r="D7" s="0" t="n">
        <f aca="false">SUMIFS(출고!H:H,출고!B:B,A7)</f>
        <v>2453604000</v>
      </c>
      <c r="E7" s="0" t="n">
        <f aca="false">SUMIFS(반품!I:I,반품!B:B,A7)</f>
        <v>143358940</v>
      </c>
      <c r="F7" s="0" t="n">
        <f aca="false">SUMIFS(반품!D:D,반품!B:B,A7)</f>
        <v>38823</v>
      </c>
      <c r="G7" s="0" t="n">
        <f aca="false">SUMIFS(출고!D:D,출고!B:B,A7)</f>
        <v>414570</v>
      </c>
      <c r="H7" s="0" t="n">
        <f aca="false">SUMIFS(반품!D:D,반품!B:B,A7,반품!E:E,"개정판교체")+SUMIFS(반품!D:D,반품!B:B,A7,반품!E:E,"파본")</f>
        <v>14262</v>
      </c>
      <c r="I7" s="0" t="n">
        <f aca="false">B7-C7-(D7-E7)-F7*$O$2</f>
        <v>1891809470.54647</v>
      </c>
      <c r="J7" s="0" t="n">
        <v>1891809470.54647</v>
      </c>
      <c r="K7" s="0" t="n">
        <f aca="false">I7-J7</f>
        <v>0</v>
      </c>
      <c r="L7" s="0" t="n">
        <f aca="false">(B7/G7-D7/G7)/(B7/G7-D7/G7+$O$2+H7/F7*D7/G7)</f>
        <v>0.60279643526895</v>
      </c>
      <c r="M7" s="0" t="n">
        <v>0.60279643526895</v>
      </c>
      <c r="N7" s="0" t="n">
        <f aca="false">L7-M7</f>
        <v>0</v>
      </c>
    </row>
    <row r="8" customFormat="false" ht="15" hidden="false" customHeight="false" outlineLevel="0" collapsed="false">
      <c r="A8" s="1" t="s">
        <v>20</v>
      </c>
      <c r="B8" s="0" t="n">
        <f aca="false">SUMIFS(출고!F:F,출고!B:B,A8)</f>
        <v>3582902400</v>
      </c>
      <c r="C8" s="0" t="n">
        <f aca="false">SUMIFS(반품!G:G,반품!B:B,A8)</f>
        <v>221648599.015002</v>
      </c>
      <c r="D8" s="0" t="n">
        <f aca="false">SUMIFS(출고!H:H,출고!B:B,A8)</f>
        <v>1713506100</v>
      </c>
      <c r="E8" s="0" t="n">
        <f aca="false">SUMIFS(반품!I:I,반품!B:B,A8)</f>
        <v>79805640</v>
      </c>
      <c r="F8" s="0" t="n">
        <f aca="false">SUMIFS(반품!D:D,반품!B:B,A8)</f>
        <v>17884</v>
      </c>
      <c r="G8" s="0" t="n">
        <f aca="false">SUMIFS(출고!D:D,출고!B:B,A8)</f>
        <v>289980</v>
      </c>
      <c r="H8" s="0" t="n">
        <f aca="false">SUMIFS(반품!D:D,반품!B:B,A8,반품!E:E,"개정판교체")+SUMIFS(반품!D:D,반품!B:B,A8,반품!E:E,"파본")</f>
        <v>3926</v>
      </c>
      <c r="I8" s="0" t="n">
        <f aca="false">B8-C8-(D8-E8)-F8*$O$2</f>
        <v>1702515740.985</v>
      </c>
      <c r="J8" s="0" t="n">
        <v>1702515740.985</v>
      </c>
      <c r="K8" s="0" t="n">
        <f aca="false">I8-J8</f>
        <v>0</v>
      </c>
      <c r="L8" s="0" t="n">
        <f aca="false">(B8/G8-D8/G8)/(B8/G8-D8/G8+$O$2+H8/F8*D8/G8)</f>
        <v>0.705026270251637</v>
      </c>
      <c r="M8" s="0" t="n">
        <v>0.705026270251637</v>
      </c>
      <c r="N8" s="0" t="n">
        <f aca="false">L8-M8</f>
        <v>0</v>
      </c>
    </row>
    <row r="9" customFormat="false" ht="15" hidden="false" customHeight="false" outlineLevel="0" collapsed="false">
      <c r="A9" s="1" t="s">
        <v>21</v>
      </c>
      <c r="B9" s="0" t="n">
        <f aca="false">SUMIFS(출고!F:F,출고!B:B,A9)</f>
        <v>3172452200</v>
      </c>
      <c r="C9" s="0" t="n">
        <f aca="false">SUMIFS(반품!G:G,반품!B:B,A9)</f>
        <v>352423568.614266</v>
      </c>
      <c r="D9" s="0" t="n">
        <f aca="false">SUMIFS(출고!H:H,출고!B:B,A9)</f>
        <v>1518714800</v>
      </c>
      <c r="E9" s="0" t="n">
        <f aca="false">SUMIFS(반품!I:I,반품!B:B,A9)</f>
        <v>149274640</v>
      </c>
      <c r="F9" s="0" t="n">
        <f aca="false">SUMIFS(반품!D:D,반품!B:B,A9)</f>
        <v>30153</v>
      </c>
      <c r="G9" s="0" t="n">
        <f aca="false">SUMIFS(출고!D:D,출고!B:B,A9)</f>
        <v>275820</v>
      </c>
      <c r="H9" s="0" t="n">
        <f aca="false">SUMIFS(반품!D:D,반품!B:B,A9,반품!E:E,"개정판교체")+SUMIFS(반품!D:D,반품!B:B,A9,반품!E:E,"파본")</f>
        <v>2887</v>
      </c>
      <c r="I9" s="0" t="n">
        <f aca="false">B9-C9-(D9-E9)-F9*$O$2</f>
        <v>1408374271.38573</v>
      </c>
      <c r="J9" s="0" t="n">
        <v>1408374271.38573</v>
      </c>
      <c r="K9" s="0" t="n">
        <f aca="false">I9-J9</f>
        <v>0</v>
      </c>
      <c r="L9" s="0" t="n">
        <f aca="false">(B9/G9-D9/G9)/(B9/G9-D9/G9+$O$2+H9/F9*D9/G9)</f>
        <v>0.756757120488289</v>
      </c>
      <c r="M9" s="0" t="n">
        <v>0.756757120488289</v>
      </c>
      <c r="N9" s="0" t="n">
        <f aca="false">L9-M9</f>
        <v>0</v>
      </c>
    </row>
    <row r="10" customFormat="false" ht="15" hidden="false" customHeight="false" outlineLevel="0" collapsed="false">
      <c r="A10" s="1" t="s">
        <v>22</v>
      </c>
      <c r="B10" s="0" t="n">
        <f aca="false">SUMIFS(출고!F:F,출고!B:B,A10)</f>
        <v>2883635300</v>
      </c>
      <c r="C10" s="0" t="n">
        <f aca="false">SUMIFS(반품!G:G,반품!B:B,A10)</f>
        <v>293419627.166316</v>
      </c>
      <c r="D10" s="0" t="n">
        <f aca="false">SUMIFS(출고!H:H,출고!B:B,A10)</f>
        <v>1390851400</v>
      </c>
      <c r="E10" s="0" t="n">
        <f aca="false">SUMIFS(반품!I:I,반품!B:B,A10)</f>
        <v>110279680</v>
      </c>
      <c r="F10" s="0" t="n">
        <f aca="false">SUMIFS(반품!D:D,반품!B:B,A10)</f>
        <v>23287</v>
      </c>
      <c r="G10" s="0" t="n">
        <f aca="false">SUMIFS(출고!D:D,출고!B:B,A10)</f>
        <v>230020</v>
      </c>
      <c r="H10" s="0" t="n">
        <f aca="false">SUMIFS(반품!D:D,반품!B:B,A10,반품!E:E,"개정판교체")+SUMIFS(반품!D:D,반품!B:B,A10,반품!E:E,"파본")</f>
        <v>4800</v>
      </c>
      <c r="I10" s="0" t="n">
        <f aca="false">B10-C10-(D10-E10)-F10*$O$2</f>
        <v>1277042152.83368</v>
      </c>
      <c r="J10" s="0" t="n">
        <v>1277042152.83368</v>
      </c>
      <c r="K10" s="0" t="n">
        <f aca="false">I10-J10</f>
        <v>0</v>
      </c>
      <c r="L10" s="0" t="n">
        <f aca="false">(B10/G10-D10/G10)/(B10/G10-D10/G10+$O$2+H10/F10*D10/G10)</f>
        <v>0.710342365713111</v>
      </c>
      <c r="M10" s="0" t="n">
        <v>0.710342365713111</v>
      </c>
      <c r="N10" s="0" t="n">
        <f aca="false">L10-M10</f>
        <v>0</v>
      </c>
    </row>
    <row r="11" customFormat="false" ht="15" hidden="false" customHeight="false" outlineLevel="0" collapsed="false">
      <c r="A11" s="1" t="s">
        <v>23</v>
      </c>
      <c r="B11" s="0" t="n">
        <f aca="false">SUMIFS(출고!F:F,출고!B:B,A11)</f>
        <v>2661978300</v>
      </c>
      <c r="C11" s="0" t="n">
        <f aca="false">SUMIFS(반품!G:G,반품!B:B,A11)</f>
        <v>308420677.967014</v>
      </c>
      <c r="D11" s="0" t="n">
        <f aca="false">SUMIFS(출고!H:H,출고!B:B,A11)</f>
        <v>1286984700</v>
      </c>
      <c r="E11" s="0" t="n">
        <f aca="false">SUMIFS(반품!I:I,반품!B:B,A11)</f>
        <v>124421030</v>
      </c>
      <c r="F11" s="0" t="n">
        <f aca="false">SUMIFS(반품!D:D,반품!B:B,A11)</f>
        <v>23744</v>
      </c>
      <c r="G11" s="0" t="n">
        <f aca="false">SUMIFS(출고!D:D,출고!B:B,A11)</f>
        <v>203690</v>
      </c>
      <c r="H11" s="0" t="n">
        <f aca="false">SUMIFS(반품!D:D,반품!B:B,A11,반품!E:E,"개정판교체")+SUMIFS(반품!D:D,반품!B:B,A11,반품!E:E,"파본")</f>
        <v>3976</v>
      </c>
      <c r="I11" s="0" t="n">
        <f aca="false">B11-C11-(D11-E11)-F11*$O$2</f>
        <v>1157752352.03299</v>
      </c>
      <c r="J11" s="0" t="n">
        <v>1157752352.03299</v>
      </c>
      <c r="K11" s="0" t="n">
        <f aca="false">I11-J11</f>
        <v>0</v>
      </c>
      <c r="L11" s="0" t="n">
        <f aca="false">(B11/G11-D11/G11)/(B11/G11-D11/G11+$O$2+H11/F11*D11/G11)</f>
        <v>0.733068427483967</v>
      </c>
      <c r="M11" s="0" t="n">
        <v>0.733068427483967</v>
      </c>
      <c r="N11" s="0" t="n">
        <f aca="false">L11-M11</f>
        <v>0</v>
      </c>
    </row>
    <row r="12" customFormat="false" ht="15" hidden="false" customHeight="false" outlineLevel="0" collapsed="false">
      <c r="A12" s="1" t="s">
        <v>24</v>
      </c>
      <c r="B12" s="0" t="n">
        <f aca="false">SUMIFS(출고!F:F,출고!B:B,A12)</f>
        <v>1998191500</v>
      </c>
      <c r="C12" s="0" t="n">
        <f aca="false">SUMIFS(반품!G:G,반품!B:B,A12)</f>
        <v>210475534.579876</v>
      </c>
      <c r="D12" s="0" t="n">
        <f aca="false">SUMIFS(출고!H:H,출고!B:B,A12)</f>
        <v>955073900</v>
      </c>
      <c r="E12" s="0" t="n">
        <f aca="false">SUMIFS(반품!I:I,반품!B:B,A12)</f>
        <v>84982660</v>
      </c>
      <c r="F12" s="0" t="n">
        <f aca="false">SUMIFS(반품!D:D,반품!B:B,A12)</f>
        <v>17226</v>
      </c>
      <c r="G12" s="0" t="n">
        <f aca="false">SUMIFS(출고!D:D,출고!B:B,A12)</f>
        <v>163220</v>
      </c>
      <c r="H12" s="0" t="n">
        <f aca="false">SUMIFS(반품!D:D,반품!B:B,A12,반품!E:E,"개정판교체")+SUMIFS(반품!D:D,반품!B:B,A12,반품!E:E,"파본")</f>
        <v>2606</v>
      </c>
      <c r="I12" s="0" t="n">
        <f aca="false">B12-C12-(D12-E12)-F12*$O$2</f>
        <v>893508325.420124</v>
      </c>
      <c r="J12" s="0" t="n">
        <v>893508325.420124</v>
      </c>
      <c r="K12" s="0" t="n">
        <f aca="false">I12-J12</f>
        <v>0</v>
      </c>
      <c r="L12" s="0" t="n">
        <f aca="false">(B12/G12-D12/G12)/(B12/G12-D12/G12+$O$2+H12/F12*D12/G12)</f>
        <v>0.736606713391928</v>
      </c>
      <c r="M12" s="0" t="n">
        <v>0.736606713391928</v>
      </c>
      <c r="N12" s="0" t="n">
        <f aca="false">L12-M12</f>
        <v>0</v>
      </c>
    </row>
    <row r="13" customFormat="false" ht="15" hidden="false" customHeight="false" outlineLevel="0" collapsed="false">
      <c r="A13" s="1" t="s">
        <v>25</v>
      </c>
      <c r="B13" s="0" t="n">
        <f aca="false">SUMIFS(출고!F:F,출고!B:B,A13)</f>
        <v>1924083300</v>
      </c>
      <c r="C13" s="0" t="n">
        <f aca="false">SUMIFS(반품!G:G,반품!B:B,A13)</f>
        <v>188000681.82826</v>
      </c>
      <c r="D13" s="0" t="n">
        <f aca="false">SUMIFS(출고!H:H,출고!B:B,A13)</f>
        <v>916663600</v>
      </c>
      <c r="E13" s="0" t="n">
        <f aca="false">SUMIFS(반품!I:I,반품!B:B,A13)</f>
        <v>77921210</v>
      </c>
      <c r="F13" s="0" t="n">
        <f aca="false">SUMIFS(반품!D:D,반품!B:B,A13)</f>
        <v>16857</v>
      </c>
      <c r="G13" s="0" t="n">
        <f aca="false">SUMIFS(출고!D:D,출고!B:B,A13)</f>
        <v>165570</v>
      </c>
      <c r="H13" s="0" t="n">
        <f aca="false">SUMIFS(반품!D:D,반품!B:B,A13,반품!E:E,"개정판교체")+SUMIFS(반품!D:D,반품!B:B,A13,반품!E:E,"파본")</f>
        <v>1607</v>
      </c>
      <c r="I13" s="0" t="n">
        <f aca="false">B13-C13-(D13-E13)-F13*$O$2</f>
        <v>873740428.17174</v>
      </c>
      <c r="J13" s="0" t="n">
        <v>873740428.17174</v>
      </c>
      <c r="K13" s="0" t="n">
        <f aca="false">I13-J13</f>
        <v>0</v>
      </c>
      <c r="L13" s="0" t="n">
        <f aca="false">(B13/G13-D13/G13)/(B13/G13-D13/G13+$O$2+H13/F13*D13/G13)</f>
        <v>0.759397197696497</v>
      </c>
      <c r="M13" s="0" t="n">
        <v>0.759397197696497</v>
      </c>
      <c r="N13" s="0" t="n">
        <f aca="false">L13-M13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6</v>
      </c>
      <c r="E1" s="1" t="s">
        <v>29</v>
      </c>
      <c r="F1" s="1" t="s">
        <v>1</v>
      </c>
      <c r="G1" s="1" t="s">
        <v>30</v>
      </c>
      <c r="H1" s="1" t="s">
        <v>3</v>
      </c>
    </row>
    <row r="2" customFormat="false" ht="15" hidden="false" customHeight="false" outlineLevel="0" collapsed="false">
      <c r="A2" s="0" t="s">
        <v>31</v>
      </c>
      <c r="B2" s="1" t="s">
        <v>14</v>
      </c>
      <c r="C2" s="1" t="s">
        <v>32</v>
      </c>
      <c r="D2" s="0" t="n">
        <v>8420</v>
      </c>
      <c r="E2" s="0" t="n">
        <v>10990</v>
      </c>
      <c r="F2" s="0" t="n">
        <f aca="false">D2*E2</f>
        <v>92535800</v>
      </c>
      <c r="G2" s="0" t="n">
        <f aca="false">INDEX(마스터!$E:$E,MATCH(C2,마스터!$A:$A,0))</f>
        <v>5790</v>
      </c>
      <c r="H2" s="0" t="n">
        <f aca="false">D2*G2</f>
        <v>48751800</v>
      </c>
    </row>
    <row r="3" customFormat="false" ht="15" hidden="false" customHeight="false" outlineLevel="0" collapsed="false">
      <c r="A3" s="0" t="s">
        <v>31</v>
      </c>
      <c r="B3" s="1" t="s">
        <v>14</v>
      </c>
      <c r="C3" s="1" t="s">
        <v>33</v>
      </c>
      <c r="D3" s="0" t="n">
        <v>9220</v>
      </c>
      <c r="E3" s="0" t="n">
        <v>12280</v>
      </c>
      <c r="F3" s="0" t="n">
        <f aca="false">D3*E3</f>
        <v>113221600</v>
      </c>
      <c r="G3" s="0" t="n">
        <f aca="false">INDEX(마스터!$E:$E,MATCH(C3,마스터!$A:$A,0))</f>
        <v>6790</v>
      </c>
      <c r="H3" s="0" t="n">
        <f aca="false">D3*G3</f>
        <v>62603800</v>
      </c>
    </row>
    <row r="4" customFormat="false" ht="15" hidden="false" customHeight="false" outlineLevel="0" collapsed="false">
      <c r="A4" s="0" t="s">
        <v>31</v>
      </c>
      <c r="B4" s="1" t="s">
        <v>14</v>
      </c>
      <c r="C4" s="1" t="s">
        <v>34</v>
      </c>
      <c r="D4" s="0" t="n">
        <v>8960</v>
      </c>
      <c r="E4" s="0" t="n">
        <v>11960</v>
      </c>
      <c r="F4" s="0" t="n">
        <f aca="false">D4*E4</f>
        <v>107161600</v>
      </c>
      <c r="G4" s="0" t="n">
        <f aca="false">INDEX(마스터!$E:$E,MATCH(C4,마스터!$A:$A,0))</f>
        <v>6630</v>
      </c>
      <c r="H4" s="0" t="n">
        <f aca="false">D4*G4</f>
        <v>59404800</v>
      </c>
    </row>
    <row r="5" customFormat="false" ht="15" hidden="false" customHeight="false" outlineLevel="0" collapsed="false">
      <c r="A5" s="0" t="s">
        <v>31</v>
      </c>
      <c r="B5" s="1" t="s">
        <v>14</v>
      </c>
      <c r="C5" s="1" t="s">
        <v>35</v>
      </c>
      <c r="D5" s="0" t="n">
        <v>6730</v>
      </c>
      <c r="E5" s="0" t="n">
        <v>9700</v>
      </c>
      <c r="F5" s="0" t="n">
        <f aca="false">D5*E5</f>
        <v>65281000</v>
      </c>
      <c r="G5" s="0" t="n">
        <f aca="false">INDEX(마스터!$E:$E,MATCH(C5,마스터!$A:$A,0))</f>
        <v>4920</v>
      </c>
      <c r="H5" s="0" t="n">
        <f aca="false">D5*G5</f>
        <v>33111600</v>
      </c>
    </row>
    <row r="6" customFormat="false" ht="15" hidden="false" customHeight="false" outlineLevel="0" collapsed="false">
      <c r="A6" s="0" t="s">
        <v>31</v>
      </c>
      <c r="B6" s="1" t="s">
        <v>14</v>
      </c>
      <c r="C6" s="1" t="s">
        <v>36</v>
      </c>
      <c r="D6" s="0" t="n">
        <v>6740</v>
      </c>
      <c r="E6" s="0" t="n">
        <v>9370</v>
      </c>
      <c r="F6" s="0" t="n">
        <f aca="false">D6*E6</f>
        <v>63153800</v>
      </c>
      <c r="G6" s="0" t="n">
        <f aca="false">INDEX(마스터!$E:$E,MATCH(C6,마스터!$A:$A,0))</f>
        <v>4540</v>
      </c>
      <c r="H6" s="0" t="n">
        <f aca="false">D6*G6</f>
        <v>30599600</v>
      </c>
    </row>
    <row r="7" customFormat="false" ht="15" hidden="false" customHeight="false" outlineLevel="0" collapsed="false">
      <c r="A7" s="0" t="s">
        <v>31</v>
      </c>
      <c r="B7" s="1" t="s">
        <v>15</v>
      </c>
      <c r="C7" s="1" t="s">
        <v>37</v>
      </c>
      <c r="D7" s="0" t="n">
        <v>8350</v>
      </c>
      <c r="E7" s="0" t="n">
        <v>9730</v>
      </c>
      <c r="F7" s="0" t="n">
        <f aca="false">D7*E7</f>
        <v>81245500</v>
      </c>
      <c r="G7" s="0" t="n">
        <f aca="false">INDEX(마스터!$E:$E,MATCH(C7,마스터!$A:$A,0))</f>
        <v>4900</v>
      </c>
      <c r="H7" s="0" t="n">
        <f aca="false">D7*G7</f>
        <v>40915000</v>
      </c>
    </row>
    <row r="8" customFormat="false" ht="15" hidden="false" customHeight="false" outlineLevel="0" collapsed="false">
      <c r="A8" s="0" t="s">
        <v>31</v>
      </c>
      <c r="B8" s="1" t="s">
        <v>15</v>
      </c>
      <c r="C8" s="1" t="s">
        <v>38</v>
      </c>
      <c r="D8" s="0" t="n">
        <v>8310</v>
      </c>
      <c r="E8" s="0" t="n">
        <v>11350</v>
      </c>
      <c r="F8" s="0" t="n">
        <f aca="false">D8*E8</f>
        <v>94318500</v>
      </c>
      <c r="G8" s="0" t="n">
        <f aca="false">INDEX(마스터!$E:$E,MATCH(C8,마스터!$A:$A,0))</f>
        <v>5670</v>
      </c>
      <c r="H8" s="0" t="n">
        <f aca="false">D8*G8</f>
        <v>47117700</v>
      </c>
    </row>
    <row r="9" customFormat="false" ht="15" hidden="false" customHeight="false" outlineLevel="0" collapsed="false">
      <c r="A9" s="0" t="s">
        <v>31</v>
      </c>
      <c r="B9" s="1" t="s">
        <v>15</v>
      </c>
      <c r="C9" s="1" t="s">
        <v>39</v>
      </c>
      <c r="D9" s="0" t="n">
        <v>8220</v>
      </c>
      <c r="E9" s="0" t="n">
        <v>11030</v>
      </c>
      <c r="F9" s="0" t="n">
        <f aca="false">D9*E9</f>
        <v>90666600</v>
      </c>
      <c r="G9" s="0" t="n">
        <f aca="false">INDEX(마스터!$E:$E,MATCH(C9,마스터!$A:$A,0))</f>
        <v>5660</v>
      </c>
      <c r="H9" s="0" t="n">
        <f aca="false">D9*G9</f>
        <v>46525200</v>
      </c>
    </row>
    <row r="10" customFormat="false" ht="15" hidden="false" customHeight="false" outlineLevel="0" collapsed="false">
      <c r="A10" s="0" t="s">
        <v>31</v>
      </c>
      <c r="B10" s="1" t="s">
        <v>15</v>
      </c>
      <c r="C10" s="1" t="s">
        <v>36</v>
      </c>
      <c r="D10" s="0" t="n">
        <v>6950</v>
      </c>
      <c r="E10" s="0" t="n">
        <v>9410</v>
      </c>
      <c r="F10" s="0" t="n">
        <f aca="false">D10*E10</f>
        <v>65399500</v>
      </c>
      <c r="G10" s="0" t="n">
        <f aca="false">INDEX(마스터!$E:$E,MATCH(C10,마스터!$A:$A,0))</f>
        <v>4540</v>
      </c>
      <c r="H10" s="0" t="n">
        <f aca="false">D10*G10</f>
        <v>31553000</v>
      </c>
    </row>
    <row r="11" customFormat="false" ht="15" hidden="false" customHeight="false" outlineLevel="0" collapsed="false">
      <c r="A11" s="0" t="s">
        <v>31</v>
      </c>
      <c r="B11" s="1" t="s">
        <v>15</v>
      </c>
      <c r="C11" s="1" t="s">
        <v>40</v>
      </c>
      <c r="D11" s="0" t="n">
        <v>7060</v>
      </c>
      <c r="E11" s="0" t="n">
        <v>9080</v>
      </c>
      <c r="F11" s="0" t="n">
        <f aca="false">D11*E11</f>
        <v>64104800</v>
      </c>
      <c r="G11" s="0" t="n">
        <f aca="false">INDEX(마스터!$E:$E,MATCH(C11,마스터!$A:$A,0))</f>
        <v>4740</v>
      </c>
      <c r="H11" s="0" t="n">
        <f aca="false">D11*G11</f>
        <v>33464400</v>
      </c>
    </row>
    <row r="12" customFormat="false" ht="15" hidden="false" customHeight="false" outlineLevel="0" collapsed="false">
      <c r="A12" s="0" t="s">
        <v>31</v>
      </c>
      <c r="B12" s="1" t="s">
        <v>16</v>
      </c>
      <c r="C12" s="1" t="s">
        <v>41</v>
      </c>
      <c r="D12" s="0" t="n">
        <v>10280</v>
      </c>
      <c r="E12" s="0" t="n">
        <v>12230</v>
      </c>
      <c r="F12" s="0" t="n">
        <f aca="false">D12*E12</f>
        <v>125724400</v>
      </c>
      <c r="G12" s="0" t="n">
        <f aca="false">INDEX(마스터!$E:$E,MATCH(C12,마스터!$A:$A,0))</f>
        <v>5480</v>
      </c>
      <c r="H12" s="0" t="n">
        <f aca="false">D12*G12</f>
        <v>56334400</v>
      </c>
    </row>
    <row r="13" customFormat="false" ht="15" hidden="false" customHeight="false" outlineLevel="0" collapsed="false">
      <c r="A13" s="0" t="s">
        <v>31</v>
      </c>
      <c r="B13" s="1" t="s">
        <v>16</v>
      </c>
      <c r="C13" s="1" t="s">
        <v>42</v>
      </c>
      <c r="D13" s="0" t="n">
        <v>9410</v>
      </c>
      <c r="E13" s="0" t="n">
        <v>13670</v>
      </c>
      <c r="F13" s="0" t="n">
        <f aca="false">D13*E13</f>
        <v>128634700</v>
      </c>
      <c r="G13" s="0" t="n">
        <f aca="false">INDEX(마스터!$E:$E,MATCH(C13,마스터!$A:$A,0))</f>
        <v>6730</v>
      </c>
      <c r="H13" s="0" t="n">
        <f aca="false">D13*G13</f>
        <v>63329300</v>
      </c>
    </row>
    <row r="14" customFormat="false" ht="15" hidden="false" customHeight="false" outlineLevel="0" collapsed="false">
      <c r="A14" s="0" t="s">
        <v>31</v>
      </c>
      <c r="B14" s="1" t="s">
        <v>16</v>
      </c>
      <c r="C14" s="1" t="s">
        <v>43</v>
      </c>
      <c r="D14" s="0" t="n">
        <v>5090</v>
      </c>
      <c r="E14" s="0" t="n">
        <v>12950</v>
      </c>
      <c r="F14" s="0" t="n">
        <f aca="false">D14*E14</f>
        <v>65915500</v>
      </c>
      <c r="G14" s="0" t="n">
        <f aca="false">INDEX(마스터!$E:$E,MATCH(C14,마스터!$A:$A,0))</f>
        <v>6350</v>
      </c>
      <c r="H14" s="0" t="n">
        <f aca="false">D14*G14</f>
        <v>32321500</v>
      </c>
    </row>
    <row r="15" customFormat="false" ht="15" hidden="false" customHeight="false" outlineLevel="0" collapsed="false">
      <c r="A15" s="0" t="s">
        <v>31</v>
      </c>
      <c r="B15" s="1" t="s">
        <v>16</v>
      </c>
      <c r="C15" s="1" t="s">
        <v>44</v>
      </c>
      <c r="D15" s="0" t="n">
        <v>7050</v>
      </c>
      <c r="E15" s="0" t="n">
        <v>12230</v>
      </c>
      <c r="F15" s="0" t="n">
        <f aca="false">D15*E15</f>
        <v>86221500</v>
      </c>
      <c r="G15" s="0" t="n">
        <f aca="false">INDEX(마스터!$E:$E,MATCH(C15,마스터!$A:$A,0))</f>
        <v>5500</v>
      </c>
      <c r="H15" s="0" t="n">
        <f aca="false">D15*G15</f>
        <v>38775000</v>
      </c>
    </row>
    <row r="16" customFormat="false" ht="15" hidden="false" customHeight="false" outlineLevel="0" collapsed="false">
      <c r="A16" s="0" t="s">
        <v>31</v>
      </c>
      <c r="B16" s="1" t="s">
        <v>17</v>
      </c>
      <c r="C16" s="1" t="s">
        <v>45</v>
      </c>
      <c r="D16" s="0" t="n">
        <v>4290</v>
      </c>
      <c r="E16" s="0" t="n">
        <v>11940</v>
      </c>
      <c r="F16" s="0" t="n">
        <f aca="false">D16*E16</f>
        <v>51222600</v>
      </c>
      <c r="G16" s="0" t="n">
        <f aca="false">INDEX(마스터!$E:$E,MATCH(C16,마스터!$A:$A,0))</f>
        <v>6110</v>
      </c>
      <c r="H16" s="0" t="n">
        <f aca="false">D16*G16</f>
        <v>26211900</v>
      </c>
    </row>
    <row r="17" customFormat="false" ht="15" hidden="false" customHeight="false" outlineLevel="0" collapsed="false">
      <c r="A17" s="0" t="s">
        <v>31</v>
      </c>
      <c r="B17" s="1" t="s">
        <v>17</v>
      </c>
      <c r="C17" s="1" t="s">
        <v>46</v>
      </c>
      <c r="D17" s="0" t="n">
        <v>6010</v>
      </c>
      <c r="E17" s="0" t="n">
        <v>13230</v>
      </c>
      <c r="F17" s="0" t="n">
        <f aca="false">D17*E17</f>
        <v>79512300</v>
      </c>
      <c r="G17" s="0" t="n">
        <f aca="false">INDEX(마스터!$E:$E,MATCH(C17,마스터!$A:$A,0))</f>
        <v>6910</v>
      </c>
      <c r="H17" s="0" t="n">
        <f aca="false">D17*G17</f>
        <v>41529100</v>
      </c>
    </row>
    <row r="18" customFormat="false" ht="15" hidden="false" customHeight="false" outlineLevel="0" collapsed="false">
      <c r="A18" s="0" t="s">
        <v>31</v>
      </c>
      <c r="B18" s="1" t="s">
        <v>17</v>
      </c>
      <c r="C18" s="1" t="s">
        <v>34</v>
      </c>
      <c r="D18" s="0" t="n">
        <v>4320</v>
      </c>
      <c r="E18" s="0" t="n">
        <v>11940</v>
      </c>
      <c r="F18" s="0" t="n">
        <f aca="false">D18*E18</f>
        <v>51580800</v>
      </c>
      <c r="G18" s="0" t="n">
        <f aca="false">INDEX(마스터!$E:$E,MATCH(C18,마스터!$A:$A,0))</f>
        <v>6630</v>
      </c>
      <c r="H18" s="0" t="n">
        <f aca="false">D18*G18</f>
        <v>28641600</v>
      </c>
    </row>
    <row r="19" customFormat="false" ht="15" hidden="false" customHeight="false" outlineLevel="0" collapsed="false">
      <c r="A19" s="0" t="s">
        <v>31</v>
      </c>
      <c r="B19" s="1" t="s">
        <v>17</v>
      </c>
      <c r="C19" s="1" t="s">
        <v>42</v>
      </c>
      <c r="D19" s="0" t="n">
        <v>5140</v>
      </c>
      <c r="E19" s="0" t="n">
        <v>12260</v>
      </c>
      <c r="F19" s="0" t="n">
        <f aca="false">D19*E19</f>
        <v>63016400</v>
      </c>
      <c r="G19" s="0" t="n">
        <f aca="false">INDEX(마스터!$E:$E,MATCH(C19,마스터!$A:$A,0))</f>
        <v>6730</v>
      </c>
      <c r="H19" s="0" t="n">
        <f aca="false">D19*G19</f>
        <v>34592200</v>
      </c>
    </row>
    <row r="20" customFormat="false" ht="15" hidden="false" customHeight="false" outlineLevel="0" collapsed="false">
      <c r="A20" s="0" t="s">
        <v>31</v>
      </c>
      <c r="B20" s="1" t="s">
        <v>17</v>
      </c>
      <c r="C20" s="1" t="s">
        <v>47</v>
      </c>
      <c r="D20" s="0" t="n">
        <v>5000</v>
      </c>
      <c r="E20" s="0" t="n">
        <v>8390</v>
      </c>
      <c r="F20" s="0" t="n">
        <f aca="false">D20*E20</f>
        <v>41950000</v>
      </c>
      <c r="G20" s="0" t="n">
        <f aca="false">INDEX(마스터!$E:$E,MATCH(C20,마스터!$A:$A,0))</f>
        <v>4170</v>
      </c>
      <c r="H20" s="0" t="n">
        <f aca="false">D20*G20</f>
        <v>20850000</v>
      </c>
    </row>
    <row r="21" customFormat="false" ht="15" hidden="false" customHeight="false" outlineLevel="0" collapsed="false">
      <c r="A21" s="0" t="s">
        <v>31</v>
      </c>
      <c r="B21" s="1" t="s">
        <v>18</v>
      </c>
      <c r="C21" s="1" t="s">
        <v>38</v>
      </c>
      <c r="D21" s="0" t="n">
        <v>5310</v>
      </c>
      <c r="E21" s="0" t="n">
        <v>12580</v>
      </c>
      <c r="F21" s="0" t="n">
        <f aca="false">D21*E21</f>
        <v>66799800</v>
      </c>
      <c r="G21" s="0" t="n">
        <f aca="false">INDEX(마스터!$E:$E,MATCH(C21,마스터!$A:$A,0))</f>
        <v>5670</v>
      </c>
      <c r="H21" s="0" t="n">
        <f aca="false">D21*G21</f>
        <v>30107700</v>
      </c>
    </row>
    <row r="22" customFormat="false" ht="15" hidden="false" customHeight="false" outlineLevel="0" collapsed="false">
      <c r="A22" s="0" t="s">
        <v>31</v>
      </c>
      <c r="B22" s="1" t="s">
        <v>18</v>
      </c>
      <c r="C22" s="1" t="s">
        <v>41</v>
      </c>
      <c r="D22" s="0" t="n">
        <v>5130</v>
      </c>
      <c r="E22" s="0" t="n">
        <v>12220</v>
      </c>
      <c r="F22" s="0" t="n">
        <f aca="false">D22*E22</f>
        <v>62688600</v>
      </c>
      <c r="G22" s="0" t="n">
        <f aca="false">INDEX(마스터!$E:$E,MATCH(C22,마스터!$A:$A,0))</f>
        <v>5480</v>
      </c>
      <c r="H22" s="0" t="n">
        <f aca="false">D22*G22</f>
        <v>28112400</v>
      </c>
    </row>
    <row r="23" customFormat="false" ht="15" hidden="false" customHeight="false" outlineLevel="0" collapsed="false">
      <c r="A23" s="0" t="s">
        <v>31</v>
      </c>
      <c r="B23" s="1" t="s">
        <v>18</v>
      </c>
      <c r="C23" s="1" t="s">
        <v>33</v>
      </c>
      <c r="D23" s="0" t="n">
        <v>5050</v>
      </c>
      <c r="E23" s="0" t="n">
        <v>13650</v>
      </c>
      <c r="F23" s="0" t="n">
        <f aca="false">D23*E23</f>
        <v>68932500</v>
      </c>
      <c r="G23" s="0" t="n">
        <f aca="false">INDEX(마스터!$E:$E,MATCH(C23,마스터!$A:$A,0))</f>
        <v>6790</v>
      </c>
      <c r="H23" s="0" t="n">
        <f aca="false">D23*G23</f>
        <v>34289500</v>
      </c>
    </row>
    <row r="24" customFormat="false" ht="15" hidden="false" customHeight="false" outlineLevel="0" collapsed="false">
      <c r="A24" s="0" t="s">
        <v>31</v>
      </c>
      <c r="B24" s="1" t="s">
        <v>18</v>
      </c>
      <c r="C24" s="1" t="s">
        <v>48</v>
      </c>
      <c r="D24" s="0" t="n">
        <v>6200</v>
      </c>
      <c r="E24" s="0" t="n">
        <v>13290</v>
      </c>
      <c r="F24" s="0" t="n">
        <f aca="false">D24*E24</f>
        <v>82398000</v>
      </c>
      <c r="G24" s="0" t="n">
        <f aca="false">INDEX(마스터!$E:$E,MATCH(C24,마스터!$A:$A,0))</f>
        <v>6440</v>
      </c>
      <c r="H24" s="0" t="n">
        <f aca="false">D24*G24</f>
        <v>39928000</v>
      </c>
    </row>
    <row r="25" customFormat="false" ht="15" hidden="false" customHeight="false" outlineLevel="0" collapsed="false">
      <c r="A25" s="0" t="s">
        <v>31</v>
      </c>
      <c r="B25" s="1" t="s">
        <v>19</v>
      </c>
      <c r="C25" s="1" t="s">
        <v>49</v>
      </c>
      <c r="D25" s="0" t="n">
        <v>4430</v>
      </c>
      <c r="E25" s="0" t="n">
        <v>10060</v>
      </c>
      <c r="F25" s="0" t="n">
        <f aca="false">D25*E25</f>
        <v>44565800</v>
      </c>
      <c r="G25" s="0" t="n">
        <f aca="false">INDEX(마스터!$E:$E,MATCH(C25,마스터!$A:$A,0))</f>
        <v>5430</v>
      </c>
      <c r="H25" s="0" t="n">
        <f aca="false">D25*G25</f>
        <v>24054900</v>
      </c>
    </row>
    <row r="26" customFormat="false" ht="15" hidden="false" customHeight="false" outlineLevel="0" collapsed="false">
      <c r="A26" s="0" t="s">
        <v>31</v>
      </c>
      <c r="B26" s="1" t="s">
        <v>19</v>
      </c>
      <c r="C26" s="1" t="s">
        <v>50</v>
      </c>
      <c r="D26" s="0" t="n">
        <v>2020</v>
      </c>
      <c r="E26" s="0" t="n">
        <v>12980</v>
      </c>
      <c r="F26" s="0" t="n">
        <f aca="false">D26*E26</f>
        <v>26219600</v>
      </c>
      <c r="G26" s="0" t="n">
        <f aca="false">INDEX(마스터!$E:$E,MATCH(C26,마스터!$A:$A,0))</f>
        <v>6770</v>
      </c>
      <c r="H26" s="0" t="n">
        <f aca="false">D26*G26</f>
        <v>13675400</v>
      </c>
    </row>
    <row r="27" customFormat="false" ht="15" hidden="false" customHeight="false" outlineLevel="0" collapsed="false">
      <c r="A27" s="0" t="s">
        <v>31</v>
      </c>
      <c r="B27" s="1" t="s">
        <v>19</v>
      </c>
      <c r="C27" s="1" t="s">
        <v>51</v>
      </c>
      <c r="D27" s="0" t="n">
        <v>5030</v>
      </c>
      <c r="E27" s="0" t="n">
        <v>13300</v>
      </c>
      <c r="F27" s="0" t="n">
        <f aca="false">D27*E27</f>
        <v>66899000</v>
      </c>
      <c r="G27" s="0" t="n">
        <f aca="false">INDEX(마스터!$E:$E,MATCH(C27,마스터!$A:$A,0))</f>
        <v>7480</v>
      </c>
      <c r="H27" s="0" t="n">
        <f aca="false">D27*G27</f>
        <v>37624400</v>
      </c>
    </row>
    <row r="28" customFormat="false" ht="15" hidden="false" customHeight="false" outlineLevel="0" collapsed="false">
      <c r="A28" s="0" t="s">
        <v>31</v>
      </c>
      <c r="B28" s="1" t="s">
        <v>19</v>
      </c>
      <c r="C28" s="1" t="s">
        <v>35</v>
      </c>
      <c r="D28" s="0" t="n">
        <v>2940</v>
      </c>
      <c r="E28" s="0" t="n">
        <v>9730</v>
      </c>
      <c r="F28" s="0" t="n">
        <f aca="false">D28*E28</f>
        <v>28606200</v>
      </c>
      <c r="G28" s="0" t="n">
        <f aca="false">INDEX(마스터!$E:$E,MATCH(C28,마스터!$A:$A,0))</f>
        <v>4920</v>
      </c>
      <c r="H28" s="0" t="n">
        <f aca="false">D28*G28</f>
        <v>14464800</v>
      </c>
    </row>
    <row r="29" customFormat="false" ht="15" hidden="false" customHeight="false" outlineLevel="0" collapsed="false">
      <c r="A29" s="0" t="s">
        <v>31</v>
      </c>
      <c r="B29" s="1" t="s">
        <v>19</v>
      </c>
      <c r="C29" s="1" t="s">
        <v>52</v>
      </c>
      <c r="D29" s="0" t="n">
        <v>3970</v>
      </c>
      <c r="E29" s="0" t="n">
        <v>10380</v>
      </c>
      <c r="F29" s="0" t="n">
        <f aca="false">D29*E29</f>
        <v>41208600</v>
      </c>
      <c r="G29" s="0" t="n">
        <f aca="false">INDEX(마스터!$E:$E,MATCH(C29,마스터!$A:$A,0))</f>
        <v>5110</v>
      </c>
      <c r="H29" s="0" t="n">
        <f aca="false">D29*G29</f>
        <v>20286700</v>
      </c>
    </row>
    <row r="30" customFormat="false" ht="15" hidden="false" customHeight="false" outlineLevel="0" collapsed="false">
      <c r="A30" s="0" t="s">
        <v>31</v>
      </c>
      <c r="B30" s="1" t="s">
        <v>20</v>
      </c>
      <c r="C30" s="1" t="s">
        <v>53</v>
      </c>
      <c r="D30" s="0" t="n">
        <v>3350</v>
      </c>
      <c r="E30" s="0" t="n">
        <v>14080</v>
      </c>
      <c r="F30" s="0" t="n">
        <f aca="false">D30*E30</f>
        <v>47168000</v>
      </c>
      <c r="G30" s="0" t="n">
        <f aca="false">INDEX(마스터!$E:$E,MATCH(C30,마스터!$A:$A,0))</f>
        <v>6630</v>
      </c>
      <c r="H30" s="0" t="n">
        <f aca="false">D30*G30</f>
        <v>22210500</v>
      </c>
    </row>
    <row r="31" customFormat="false" ht="15" hidden="false" customHeight="false" outlineLevel="0" collapsed="false">
      <c r="A31" s="0" t="s">
        <v>31</v>
      </c>
      <c r="B31" s="1" t="s">
        <v>20</v>
      </c>
      <c r="C31" s="1" t="s">
        <v>54</v>
      </c>
      <c r="D31" s="0" t="n">
        <v>2630</v>
      </c>
      <c r="E31" s="0" t="n">
        <v>13710</v>
      </c>
      <c r="F31" s="0" t="n">
        <f aca="false">D31*E31</f>
        <v>36057300</v>
      </c>
      <c r="G31" s="0" t="n">
        <f aca="false">INDEX(마스터!$E:$E,MATCH(C31,마스터!$A:$A,0))</f>
        <v>6790</v>
      </c>
      <c r="H31" s="0" t="n">
        <f aca="false">D31*G31</f>
        <v>17857700</v>
      </c>
    </row>
    <row r="32" customFormat="false" ht="15" hidden="false" customHeight="false" outlineLevel="0" collapsed="false">
      <c r="A32" s="0" t="s">
        <v>31</v>
      </c>
      <c r="B32" s="1" t="s">
        <v>20</v>
      </c>
      <c r="C32" s="1" t="s">
        <v>42</v>
      </c>
      <c r="D32" s="0" t="n">
        <v>3080</v>
      </c>
      <c r="E32" s="0" t="n">
        <v>13710</v>
      </c>
      <c r="F32" s="0" t="n">
        <f aca="false">D32*E32</f>
        <v>42226800</v>
      </c>
      <c r="G32" s="0" t="n">
        <f aca="false">INDEX(마스터!$E:$E,MATCH(C32,마스터!$A:$A,0))</f>
        <v>6730</v>
      </c>
      <c r="H32" s="0" t="n">
        <f aca="false">D32*G32</f>
        <v>20728400</v>
      </c>
    </row>
    <row r="33" customFormat="false" ht="15" hidden="false" customHeight="false" outlineLevel="0" collapsed="false">
      <c r="A33" s="0" t="s">
        <v>31</v>
      </c>
      <c r="B33" s="1" t="s">
        <v>20</v>
      </c>
      <c r="C33" s="1" t="s">
        <v>55</v>
      </c>
      <c r="D33" s="0" t="n">
        <v>3910</v>
      </c>
      <c r="E33" s="0" t="n">
        <v>13350</v>
      </c>
      <c r="F33" s="0" t="n">
        <f aca="false">D33*E33</f>
        <v>52198500</v>
      </c>
      <c r="G33" s="0" t="n">
        <f aca="false">INDEX(마스터!$E:$E,MATCH(C33,마스터!$A:$A,0))</f>
        <v>6040</v>
      </c>
      <c r="H33" s="0" t="n">
        <f aca="false">D33*G33</f>
        <v>23616400</v>
      </c>
    </row>
    <row r="34" customFormat="false" ht="15" hidden="false" customHeight="false" outlineLevel="0" collapsed="false">
      <c r="A34" s="0" t="s">
        <v>31</v>
      </c>
      <c r="B34" s="1" t="s">
        <v>21</v>
      </c>
      <c r="C34" s="1" t="s">
        <v>56</v>
      </c>
      <c r="D34" s="0" t="n">
        <v>3670</v>
      </c>
      <c r="E34" s="0" t="n">
        <v>10840</v>
      </c>
      <c r="F34" s="0" t="n">
        <f aca="false">D34*E34</f>
        <v>39782800</v>
      </c>
      <c r="G34" s="0" t="n">
        <f aca="false">INDEX(마스터!$E:$E,MATCH(C34,마스터!$A:$A,0))</f>
        <v>5470</v>
      </c>
      <c r="H34" s="0" t="n">
        <f aca="false">D34*G34</f>
        <v>20074900</v>
      </c>
    </row>
    <row r="35" customFormat="false" ht="15" hidden="false" customHeight="false" outlineLevel="0" collapsed="false">
      <c r="A35" s="0" t="s">
        <v>31</v>
      </c>
      <c r="B35" s="1" t="s">
        <v>21</v>
      </c>
      <c r="C35" s="1" t="s">
        <v>36</v>
      </c>
      <c r="D35" s="0" t="n">
        <v>4710</v>
      </c>
      <c r="E35" s="0" t="n">
        <v>10140</v>
      </c>
      <c r="F35" s="0" t="n">
        <f aca="false">D35*E35</f>
        <v>47759400</v>
      </c>
      <c r="G35" s="0" t="n">
        <f aca="false">INDEX(마스터!$E:$E,MATCH(C35,마스터!$A:$A,0))</f>
        <v>4540</v>
      </c>
      <c r="H35" s="0" t="n">
        <f aca="false">D35*G35</f>
        <v>21383400</v>
      </c>
    </row>
    <row r="36" customFormat="false" ht="15" hidden="false" customHeight="false" outlineLevel="0" collapsed="false">
      <c r="A36" s="0" t="s">
        <v>31</v>
      </c>
      <c r="B36" s="1" t="s">
        <v>21</v>
      </c>
      <c r="C36" s="1" t="s">
        <v>57</v>
      </c>
      <c r="D36" s="0" t="n">
        <v>4110</v>
      </c>
      <c r="E36" s="0" t="n">
        <v>10490</v>
      </c>
      <c r="F36" s="0" t="n">
        <f aca="false">D36*E36</f>
        <v>43113900</v>
      </c>
      <c r="G36" s="0" t="n">
        <f aca="false">INDEX(마스터!$E:$E,MATCH(C36,마스터!$A:$A,0))</f>
        <v>4870</v>
      </c>
      <c r="H36" s="0" t="n">
        <f aca="false">D36*G36</f>
        <v>20015700</v>
      </c>
    </row>
    <row r="37" customFormat="false" ht="15" hidden="false" customHeight="false" outlineLevel="0" collapsed="false">
      <c r="A37" s="0" t="s">
        <v>31</v>
      </c>
      <c r="B37" s="1" t="s">
        <v>22</v>
      </c>
      <c r="C37" s="1" t="s">
        <v>48</v>
      </c>
      <c r="D37" s="0" t="n">
        <v>5850</v>
      </c>
      <c r="E37" s="0" t="n">
        <v>12980</v>
      </c>
      <c r="F37" s="0" t="n">
        <f aca="false">D37*E37</f>
        <v>75933000</v>
      </c>
      <c r="G37" s="0" t="n">
        <f aca="false">INDEX(마스터!$E:$E,MATCH(C37,마스터!$A:$A,0))</f>
        <v>6440</v>
      </c>
      <c r="H37" s="0" t="n">
        <f aca="false">D37*G37</f>
        <v>37674000</v>
      </c>
    </row>
    <row r="38" customFormat="false" ht="15" hidden="false" customHeight="false" outlineLevel="0" collapsed="false">
      <c r="A38" s="0" t="s">
        <v>31</v>
      </c>
      <c r="B38" s="1" t="s">
        <v>22</v>
      </c>
      <c r="C38" s="1" t="s">
        <v>36</v>
      </c>
      <c r="D38" s="0" t="n">
        <v>4530</v>
      </c>
      <c r="E38" s="0" t="n">
        <v>10170</v>
      </c>
      <c r="F38" s="0" t="n">
        <f aca="false">D38*E38</f>
        <v>46070100</v>
      </c>
      <c r="G38" s="0" t="n">
        <f aca="false">INDEX(마스터!$E:$E,MATCH(C38,마스터!$A:$A,0))</f>
        <v>4540</v>
      </c>
      <c r="H38" s="0" t="n">
        <f aca="false">D38*G38</f>
        <v>20566200</v>
      </c>
    </row>
    <row r="39" customFormat="false" ht="15" hidden="false" customHeight="false" outlineLevel="0" collapsed="false">
      <c r="A39" s="0" t="s">
        <v>31</v>
      </c>
      <c r="B39" s="1" t="s">
        <v>23</v>
      </c>
      <c r="C39" s="1" t="s">
        <v>58</v>
      </c>
      <c r="D39" s="0" t="n">
        <v>4420</v>
      </c>
      <c r="E39" s="0" t="n">
        <v>11850</v>
      </c>
      <c r="F39" s="0" t="n">
        <f aca="false">D39*E39</f>
        <v>52377000</v>
      </c>
      <c r="G39" s="0" t="n">
        <f aca="false">INDEX(마스터!$E:$E,MATCH(C39,마스터!$A:$A,0))</f>
        <v>5720</v>
      </c>
      <c r="H39" s="0" t="n">
        <f aca="false">D39*G39</f>
        <v>25282400</v>
      </c>
    </row>
    <row r="40" customFormat="false" ht="15" hidden="false" customHeight="false" outlineLevel="0" collapsed="false">
      <c r="A40" s="0" t="s">
        <v>31</v>
      </c>
      <c r="B40" s="1" t="s">
        <v>23</v>
      </c>
      <c r="C40" s="1" t="s">
        <v>59</v>
      </c>
      <c r="D40" s="0" t="n">
        <v>4770</v>
      </c>
      <c r="E40" s="0" t="n">
        <v>13940</v>
      </c>
      <c r="F40" s="0" t="n">
        <f aca="false">D40*E40</f>
        <v>66493800</v>
      </c>
      <c r="G40" s="0" t="n">
        <f aca="false">INDEX(마스터!$E:$E,MATCH(C40,마스터!$A:$A,0))</f>
        <v>6520</v>
      </c>
      <c r="H40" s="0" t="n">
        <f aca="false">D40*G40</f>
        <v>31100400</v>
      </c>
    </row>
    <row r="41" customFormat="false" ht="15" hidden="false" customHeight="false" outlineLevel="0" collapsed="false">
      <c r="A41" s="0" t="s">
        <v>31</v>
      </c>
      <c r="B41" s="1" t="s">
        <v>25</v>
      </c>
      <c r="C41" s="1" t="s">
        <v>60</v>
      </c>
      <c r="D41" s="0" t="n">
        <v>3140</v>
      </c>
      <c r="E41" s="0" t="n">
        <v>13640</v>
      </c>
      <c r="F41" s="0" t="n">
        <f aca="false">D41*E41</f>
        <v>42829600</v>
      </c>
      <c r="G41" s="0" t="n">
        <f aca="false">INDEX(마스터!$E:$E,MATCH(C41,마스터!$A:$A,0))</f>
        <v>6980</v>
      </c>
      <c r="H41" s="0" t="n">
        <f aca="false">D41*G41</f>
        <v>21917200</v>
      </c>
    </row>
    <row r="42" customFormat="false" ht="15" hidden="false" customHeight="false" outlineLevel="0" collapsed="false">
      <c r="A42" s="0" t="s">
        <v>31</v>
      </c>
      <c r="B42" s="1" t="s">
        <v>25</v>
      </c>
      <c r="C42" s="1" t="s">
        <v>42</v>
      </c>
      <c r="D42" s="0" t="n">
        <v>4400</v>
      </c>
      <c r="E42" s="0" t="n">
        <v>13290</v>
      </c>
      <c r="F42" s="0" t="n">
        <f aca="false">D42*E42</f>
        <v>58476000</v>
      </c>
      <c r="G42" s="0" t="n">
        <f aca="false">INDEX(마스터!$E:$E,MATCH(C42,마스터!$A:$A,0))</f>
        <v>6730</v>
      </c>
      <c r="H42" s="0" t="n">
        <f aca="false">D42*G42</f>
        <v>29612000</v>
      </c>
    </row>
    <row r="43" customFormat="false" ht="15" hidden="false" customHeight="false" outlineLevel="0" collapsed="false">
      <c r="A43" s="0" t="s">
        <v>31</v>
      </c>
      <c r="B43" s="1" t="s">
        <v>24</v>
      </c>
      <c r="C43" s="1" t="s">
        <v>61</v>
      </c>
      <c r="D43" s="0" t="n">
        <v>4230</v>
      </c>
      <c r="E43" s="0" t="n">
        <v>10890</v>
      </c>
      <c r="F43" s="0" t="n">
        <f aca="false">D43*E43</f>
        <v>46064700</v>
      </c>
      <c r="G43" s="0" t="n">
        <f aca="false">INDEX(마스터!$E:$E,MATCH(C43,마스터!$A:$A,0))</f>
        <v>5390</v>
      </c>
      <c r="H43" s="0" t="n">
        <f aca="false">D43*G43</f>
        <v>22799700</v>
      </c>
    </row>
    <row r="44" customFormat="false" ht="15" hidden="false" customHeight="false" outlineLevel="0" collapsed="false">
      <c r="A44" s="0" t="s">
        <v>31</v>
      </c>
      <c r="B44" s="1" t="s">
        <v>24</v>
      </c>
      <c r="C44" s="1" t="s">
        <v>47</v>
      </c>
      <c r="D44" s="0" t="n">
        <v>3310</v>
      </c>
      <c r="E44" s="0" t="n">
        <v>9130</v>
      </c>
      <c r="F44" s="0" t="n">
        <f aca="false">D44*E44</f>
        <v>30220300</v>
      </c>
      <c r="G44" s="0" t="n">
        <f aca="false">INDEX(마스터!$E:$E,MATCH(C44,마스터!$A:$A,0))</f>
        <v>4170</v>
      </c>
      <c r="H44" s="0" t="n">
        <f aca="false">D44*G44</f>
        <v>13802700</v>
      </c>
    </row>
    <row r="45" customFormat="false" ht="15" hidden="false" customHeight="false" outlineLevel="0" collapsed="false">
      <c r="A45" s="0" t="s">
        <v>62</v>
      </c>
      <c r="B45" s="1" t="s">
        <v>14</v>
      </c>
      <c r="C45" s="1" t="s">
        <v>38</v>
      </c>
      <c r="D45" s="0" t="n">
        <v>14290</v>
      </c>
      <c r="E45" s="0" t="n">
        <v>11280</v>
      </c>
      <c r="F45" s="0" t="n">
        <f aca="false">D45*E45</f>
        <v>161191200</v>
      </c>
      <c r="G45" s="0" t="n">
        <f aca="false">INDEX(마스터!$E:$E,MATCH(C45,마스터!$A:$A,0))</f>
        <v>5670</v>
      </c>
      <c r="H45" s="0" t="n">
        <f aca="false">D45*G45</f>
        <v>81024300</v>
      </c>
    </row>
    <row r="46" customFormat="false" ht="15" hidden="false" customHeight="false" outlineLevel="0" collapsed="false">
      <c r="A46" s="0" t="s">
        <v>62</v>
      </c>
      <c r="B46" s="1" t="s">
        <v>14</v>
      </c>
      <c r="C46" s="1" t="s">
        <v>63</v>
      </c>
      <c r="D46" s="0" t="n">
        <v>8030</v>
      </c>
      <c r="E46" s="0" t="n">
        <v>10640</v>
      </c>
      <c r="F46" s="0" t="n">
        <f aca="false">D46*E46</f>
        <v>85439200</v>
      </c>
      <c r="G46" s="0" t="n">
        <f aca="false">INDEX(마스터!$E:$E,MATCH(C46,마스터!$A:$A,0))</f>
        <v>5290</v>
      </c>
      <c r="H46" s="0" t="n">
        <f aca="false">D46*G46</f>
        <v>42478700</v>
      </c>
    </row>
    <row r="47" customFormat="false" ht="15" hidden="false" customHeight="false" outlineLevel="0" collapsed="false">
      <c r="A47" s="0" t="s">
        <v>62</v>
      </c>
      <c r="B47" s="1" t="s">
        <v>14</v>
      </c>
      <c r="C47" s="1" t="s">
        <v>64</v>
      </c>
      <c r="D47" s="0" t="n">
        <v>6590</v>
      </c>
      <c r="E47" s="0" t="n">
        <v>11600</v>
      </c>
      <c r="F47" s="0" t="n">
        <f aca="false">D47*E47</f>
        <v>76444000</v>
      </c>
      <c r="G47" s="0" t="n">
        <f aca="false">INDEX(마스터!$E:$E,MATCH(C47,마스터!$A:$A,0))</f>
        <v>5890</v>
      </c>
      <c r="H47" s="0" t="n">
        <f aca="false">D47*G47</f>
        <v>38815100</v>
      </c>
    </row>
    <row r="48" customFormat="false" ht="15" hidden="false" customHeight="false" outlineLevel="0" collapsed="false">
      <c r="A48" s="0" t="s">
        <v>62</v>
      </c>
      <c r="B48" s="1" t="s">
        <v>14</v>
      </c>
      <c r="C48" s="1" t="s">
        <v>65</v>
      </c>
      <c r="D48" s="0" t="n">
        <v>6290</v>
      </c>
      <c r="E48" s="0" t="n">
        <v>13210</v>
      </c>
      <c r="F48" s="0" t="n">
        <f aca="false">D48*E48</f>
        <v>83090900</v>
      </c>
      <c r="G48" s="0" t="n">
        <f aca="false">INDEX(마스터!$E:$E,MATCH(C48,마스터!$A:$A,0))</f>
        <v>6670</v>
      </c>
      <c r="H48" s="0" t="n">
        <f aca="false">D48*G48</f>
        <v>41954300</v>
      </c>
    </row>
    <row r="49" customFormat="false" ht="15" hidden="false" customHeight="false" outlineLevel="0" collapsed="false">
      <c r="A49" s="0" t="s">
        <v>62</v>
      </c>
      <c r="B49" s="1" t="s">
        <v>14</v>
      </c>
      <c r="C49" s="1" t="s">
        <v>48</v>
      </c>
      <c r="D49" s="0" t="n">
        <v>10910</v>
      </c>
      <c r="E49" s="0" t="n">
        <v>11920</v>
      </c>
      <c r="F49" s="0" t="n">
        <f aca="false">D49*E49</f>
        <v>130047200</v>
      </c>
      <c r="G49" s="0" t="n">
        <f aca="false">INDEX(마스터!$E:$E,MATCH(C49,마스터!$A:$A,0))</f>
        <v>6440</v>
      </c>
      <c r="H49" s="0" t="n">
        <f aca="false">D49*G49</f>
        <v>70260400</v>
      </c>
    </row>
    <row r="50" customFormat="false" ht="15" hidden="false" customHeight="false" outlineLevel="0" collapsed="false">
      <c r="A50" s="0" t="s">
        <v>62</v>
      </c>
      <c r="B50" s="1" t="s">
        <v>14</v>
      </c>
      <c r="C50" s="1" t="s">
        <v>47</v>
      </c>
      <c r="D50" s="0" t="n">
        <v>10630</v>
      </c>
      <c r="E50" s="0" t="n">
        <v>8380</v>
      </c>
      <c r="F50" s="0" t="n">
        <f aca="false">D50*E50</f>
        <v>89079400</v>
      </c>
      <c r="G50" s="0" t="n">
        <f aca="false">INDEX(마스터!$E:$E,MATCH(C50,마스터!$A:$A,0))</f>
        <v>4170</v>
      </c>
      <c r="H50" s="0" t="n">
        <f aca="false">D50*G50</f>
        <v>44327100</v>
      </c>
    </row>
    <row r="51" customFormat="false" ht="15" hidden="false" customHeight="false" outlineLevel="0" collapsed="false">
      <c r="A51" s="0" t="s">
        <v>62</v>
      </c>
      <c r="B51" s="1" t="s">
        <v>15</v>
      </c>
      <c r="C51" s="1" t="s">
        <v>38</v>
      </c>
      <c r="D51" s="0" t="n">
        <v>14330</v>
      </c>
      <c r="E51" s="0" t="n">
        <v>11400</v>
      </c>
      <c r="F51" s="0" t="n">
        <f aca="false">D51*E51</f>
        <v>163362000</v>
      </c>
      <c r="G51" s="0" t="n">
        <f aca="false">INDEX(마스터!$E:$E,MATCH(C51,마스터!$A:$A,0))</f>
        <v>5670</v>
      </c>
      <c r="H51" s="0" t="n">
        <f aca="false">D51*G51</f>
        <v>81251100</v>
      </c>
    </row>
    <row r="52" customFormat="false" ht="15" hidden="false" customHeight="false" outlineLevel="0" collapsed="false">
      <c r="A52" s="0" t="s">
        <v>62</v>
      </c>
      <c r="B52" s="1" t="s">
        <v>15</v>
      </c>
      <c r="C52" s="1" t="s">
        <v>48</v>
      </c>
      <c r="D52" s="0" t="n">
        <v>10880</v>
      </c>
      <c r="E52" s="0" t="n">
        <v>12050</v>
      </c>
      <c r="F52" s="0" t="n">
        <f aca="false">D52*E52</f>
        <v>131104000</v>
      </c>
      <c r="G52" s="0" t="n">
        <f aca="false">INDEX(마스터!$E:$E,MATCH(C52,마스터!$A:$A,0))</f>
        <v>6440</v>
      </c>
      <c r="H52" s="0" t="n">
        <f aca="false">D52*G52</f>
        <v>70067200</v>
      </c>
    </row>
    <row r="53" customFormat="false" ht="15" hidden="false" customHeight="false" outlineLevel="0" collapsed="false">
      <c r="A53" s="0" t="s">
        <v>62</v>
      </c>
      <c r="B53" s="1" t="s">
        <v>15</v>
      </c>
      <c r="C53" s="1" t="s">
        <v>51</v>
      </c>
      <c r="D53" s="0" t="n">
        <v>8630</v>
      </c>
      <c r="E53" s="0" t="n">
        <v>13350</v>
      </c>
      <c r="F53" s="0" t="n">
        <f aca="false">D53*E53</f>
        <v>115210500</v>
      </c>
      <c r="G53" s="0" t="n">
        <f aca="false">INDEX(마스터!$E:$E,MATCH(C53,마스터!$A:$A,0))</f>
        <v>7480</v>
      </c>
      <c r="H53" s="0" t="n">
        <f aca="false">D53*G53</f>
        <v>64552400</v>
      </c>
    </row>
    <row r="54" customFormat="false" ht="15" hidden="false" customHeight="false" outlineLevel="0" collapsed="false">
      <c r="A54" s="0" t="s">
        <v>62</v>
      </c>
      <c r="B54" s="1" t="s">
        <v>15</v>
      </c>
      <c r="C54" s="1" t="s">
        <v>56</v>
      </c>
      <c r="D54" s="0" t="n">
        <v>8000</v>
      </c>
      <c r="E54" s="0" t="n">
        <v>10100</v>
      </c>
      <c r="F54" s="0" t="n">
        <f aca="false">D54*E54</f>
        <v>80800000</v>
      </c>
      <c r="G54" s="0" t="n">
        <f aca="false">INDEX(마스터!$E:$E,MATCH(C54,마스터!$A:$A,0))</f>
        <v>5470</v>
      </c>
      <c r="H54" s="0" t="n">
        <f aca="false">D54*G54</f>
        <v>43760000</v>
      </c>
    </row>
    <row r="55" customFormat="false" ht="15" hidden="false" customHeight="false" outlineLevel="0" collapsed="false">
      <c r="A55" s="0" t="s">
        <v>62</v>
      </c>
      <c r="B55" s="1" t="s">
        <v>15</v>
      </c>
      <c r="C55" s="1" t="s">
        <v>66</v>
      </c>
      <c r="D55" s="0" t="n">
        <v>12290</v>
      </c>
      <c r="E55" s="0" t="n">
        <v>12050</v>
      </c>
      <c r="F55" s="0" t="n">
        <f aca="false">D55*E55</f>
        <v>148094500</v>
      </c>
      <c r="G55" s="0" t="n">
        <f aca="false">INDEX(마스터!$E:$E,MATCH(C55,마스터!$A:$A,0))</f>
        <v>6360</v>
      </c>
      <c r="H55" s="0" t="n">
        <f aca="false">D55*G55</f>
        <v>78164400</v>
      </c>
    </row>
    <row r="56" customFormat="false" ht="15" hidden="false" customHeight="false" outlineLevel="0" collapsed="false">
      <c r="A56" s="0" t="s">
        <v>62</v>
      </c>
      <c r="B56" s="1" t="s">
        <v>16</v>
      </c>
      <c r="C56" s="1" t="s">
        <v>38</v>
      </c>
      <c r="D56" s="0" t="n">
        <v>12750</v>
      </c>
      <c r="E56" s="0" t="n">
        <v>12570</v>
      </c>
      <c r="F56" s="0" t="n">
        <f aca="false">D56*E56</f>
        <v>160267500</v>
      </c>
      <c r="G56" s="0" t="n">
        <f aca="false">INDEX(마스터!$E:$E,MATCH(C56,마스터!$A:$A,0))</f>
        <v>5670</v>
      </c>
      <c r="H56" s="0" t="n">
        <f aca="false">D56*G56</f>
        <v>72292500</v>
      </c>
    </row>
    <row r="57" customFormat="false" ht="15" hidden="false" customHeight="false" outlineLevel="0" collapsed="false">
      <c r="A57" s="0" t="s">
        <v>62</v>
      </c>
      <c r="B57" s="1" t="s">
        <v>16</v>
      </c>
      <c r="C57" s="1" t="s">
        <v>34</v>
      </c>
      <c r="D57" s="0" t="n">
        <v>9380</v>
      </c>
      <c r="E57" s="0" t="n">
        <v>13290</v>
      </c>
      <c r="F57" s="0" t="n">
        <f aca="false">D57*E57</f>
        <v>124660200</v>
      </c>
      <c r="G57" s="0" t="n">
        <f aca="false">INDEX(마스터!$E:$E,MATCH(C57,마스터!$A:$A,0))</f>
        <v>6630</v>
      </c>
      <c r="H57" s="0" t="n">
        <f aca="false">D57*G57</f>
        <v>62189400</v>
      </c>
    </row>
    <row r="58" customFormat="false" ht="15" hidden="false" customHeight="false" outlineLevel="0" collapsed="false">
      <c r="A58" s="0" t="s">
        <v>62</v>
      </c>
      <c r="B58" s="1" t="s">
        <v>16</v>
      </c>
      <c r="C58" s="1" t="s">
        <v>36</v>
      </c>
      <c r="D58" s="0" t="n">
        <v>6880</v>
      </c>
      <c r="E58" s="0" t="n">
        <v>10410</v>
      </c>
      <c r="F58" s="0" t="n">
        <f aca="false">D58*E58</f>
        <v>71620800</v>
      </c>
      <c r="G58" s="0" t="n">
        <f aca="false">INDEX(마스터!$E:$E,MATCH(C58,마스터!$A:$A,0))</f>
        <v>4540</v>
      </c>
      <c r="H58" s="0" t="n">
        <f aca="false">D58*G58</f>
        <v>31235200</v>
      </c>
    </row>
    <row r="59" customFormat="false" ht="15" hidden="false" customHeight="false" outlineLevel="0" collapsed="false">
      <c r="A59" s="0" t="s">
        <v>62</v>
      </c>
      <c r="B59" s="1" t="s">
        <v>16</v>
      </c>
      <c r="C59" s="1" t="s">
        <v>67</v>
      </c>
      <c r="D59" s="0" t="n">
        <v>5420</v>
      </c>
      <c r="E59" s="0" t="n">
        <v>10050</v>
      </c>
      <c r="F59" s="0" t="n">
        <f aca="false">D59*E59</f>
        <v>54471000</v>
      </c>
      <c r="G59" s="0" t="n">
        <f aca="false">INDEX(마스터!$E:$E,MATCH(C59,마스터!$A:$A,0))</f>
        <v>4360</v>
      </c>
      <c r="H59" s="0" t="n">
        <f aca="false">D59*G59</f>
        <v>23631200</v>
      </c>
    </row>
    <row r="60" customFormat="false" ht="15" hidden="false" customHeight="false" outlineLevel="0" collapsed="false">
      <c r="A60" s="0" t="s">
        <v>62</v>
      </c>
      <c r="B60" s="1" t="s">
        <v>16</v>
      </c>
      <c r="C60" s="1" t="s">
        <v>68</v>
      </c>
      <c r="D60" s="0" t="n">
        <v>8260</v>
      </c>
      <c r="E60" s="0" t="n">
        <v>10770</v>
      </c>
      <c r="F60" s="0" t="n">
        <f aca="false">D60*E60</f>
        <v>88960200</v>
      </c>
      <c r="G60" s="0" t="n">
        <f aca="false">INDEX(마스터!$E:$E,MATCH(C60,마스터!$A:$A,0))</f>
        <v>4880</v>
      </c>
      <c r="H60" s="0" t="n">
        <f aca="false">D60*G60</f>
        <v>40308800</v>
      </c>
    </row>
    <row r="61" customFormat="false" ht="15" hidden="false" customHeight="false" outlineLevel="0" collapsed="false">
      <c r="A61" s="0" t="s">
        <v>62</v>
      </c>
      <c r="B61" s="1" t="s">
        <v>17</v>
      </c>
      <c r="C61" s="1" t="s">
        <v>38</v>
      </c>
      <c r="D61" s="0" t="n">
        <v>9810</v>
      </c>
      <c r="E61" s="0" t="n">
        <v>11310</v>
      </c>
      <c r="F61" s="0" t="n">
        <f aca="false">D61*E61</f>
        <v>110951100</v>
      </c>
      <c r="G61" s="0" t="n">
        <f aca="false">INDEX(마스터!$E:$E,MATCH(C61,마스터!$A:$A,0))</f>
        <v>5670</v>
      </c>
      <c r="H61" s="0" t="n">
        <f aca="false">D61*G61</f>
        <v>55622700</v>
      </c>
    </row>
    <row r="62" customFormat="false" ht="15" hidden="false" customHeight="false" outlineLevel="0" collapsed="false">
      <c r="A62" s="0" t="s">
        <v>62</v>
      </c>
      <c r="B62" s="1" t="s">
        <v>17</v>
      </c>
      <c r="C62" s="1" t="s">
        <v>63</v>
      </c>
      <c r="D62" s="0" t="n">
        <v>7360</v>
      </c>
      <c r="E62" s="0" t="n">
        <v>10660</v>
      </c>
      <c r="F62" s="0" t="n">
        <f aca="false">D62*E62</f>
        <v>78457600</v>
      </c>
      <c r="G62" s="0" t="n">
        <f aca="false">INDEX(마스터!$E:$E,MATCH(C62,마스터!$A:$A,0))</f>
        <v>5290</v>
      </c>
      <c r="H62" s="0" t="n">
        <f aca="false">D62*G62</f>
        <v>38934400</v>
      </c>
    </row>
    <row r="63" customFormat="false" ht="15" hidden="false" customHeight="false" outlineLevel="0" collapsed="false">
      <c r="A63" s="0" t="s">
        <v>62</v>
      </c>
      <c r="B63" s="1" t="s">
        <v>17</v>
      </c>
      <c r="C63" s="1" t="s">
        <v>33</v>
      </c>
      <c r="D63" s="0" t="n">
        <v>8170</v>
      </c>
      <c r="E63" s="0" t="n">
        <v>12280</v>
      </c>
      <c r="F63" s="0" t="n">
        <f aca="false">D63*E63</f>
        <v>100327600</v>
      </c>
      <c r="G63" s="0" t="n">
        <f aca="false">INDEX(마스터!$E:$E,MATCH(C63,마스터!$A:$A,0))</f>
        <v>6790</v>
      </c>
      <c r="H63" s="0" t="n">
        <f aca="false">D63*G63</f>
        <v>55474300</v>
      </c>
    </row>
    <row r="64" customFormat="false" ht="15" hidden="false" customHeight="false" outlineLevel="0" collapsed="false">
      <c r="A64" s="0" t="s">
        <v>62</v>
      </c>
      <c r="B64" s="1" t="s">
        <v>17</v>
      </c>
      <c r="C64" s="1" t="s">
        <v>64</v>
      </c>
      <c r="D64" s="0" t="n">
        <v>4120</v>
      </c>
      <c r="E64" s="0" t="n">
        <v>11630</v>
      </c>
      <c r="F64" s="0" t="n">
        <f aca="false">D64*E64</f>
        <v>47915600</v>
      </c>
      <c r="G64" s="0" t="n">
        <f aca="false">INDEX(마스터!$E:$E,MATCH(C64,마스터!$A:$A,0))</f>
        <v>5890</v>
      </c>
      <c r="H64" s="0" t="n">
        <f aca="false">D64*G64</f>
        <v>24266800</v>
      </c>
    </row>
    <row r="65" customFormat="false" ht="15" hidden="false" customHeight="false" outlineLevel="0" collapsed="false">
      <c r="A65" s="0" t="s">
        <v>62</v>
      </c>
      <c r="B65" s="1" t="s">
        <v>17</v>
      </c>
      <c r="C65" s="1" t="s">
        <v>56</v>
      </c>
      <c r="D65" s="0" t="n">
        <v>5230</v>
      </c>
      <c r="E65" s="0" t="n">
        <v>10020</v>
      </c>
      <c r="F65" s="0" t="n">
        <f aca="false">D65*E65</f>
        <v>52404600</v>
      </c>
      <c r="G65" s="0" t="n">
        <f aca="false">INDEX(마스터!$E:$E,MATCH(C65,마스터!$A:$A,0))</f>
        <v>5470</v>
      </c>
      <c r="H65" s="0" t="n">
        <f aca="false">D65*G65</f>
        <v>28608100</v>
      </c>
    </row>
    <row r="66" customFormat="false" ht="15" hidden="false" customHeight="false" outlineLevel="0" collapsed="false">
      <c r="A66" s="0" t="s">
        <v>62</v>
      </c>
      <c r="B66" s="1" t="s">
        <v>18</v>
      </c>
      <c r="C66" s="1" t="s">
        <v>45</v>
      </c>
      <c r="D66" s="0" t="n">
        <v>8190</v>
      </c>
      <c r="E66" s="0" t="n">
        <v>13250</v>
      </c>
      <c r="F66" s="0" t="n">
        <f aca="false">D66*E66</f>
        <v>108517500</v>
      </c>
      <c r="G66" s="0" t="n">
        <f aca="false">INDEX(마스터!$E:$E,MATCH(C66,마스터!$A:$A,0))</f>
        <v>6110</v>
      </c>
      <c r="H66" s="0" t="n">
        <f aca="false">D66*G66</f>
        <v>50040900</v>
      </c>
    </row>
    <row r="67" customFormat="false" ht="15" hidden="false" customHeight="false" outlineLevel="0" collapsed="false">
      <c r="A67" s="0" t="s">
        <v>62</v>
      </c>
      <c r="B67" s="1" t="s">
        <v>18</v>
      </c>
      <c r="C67" s="1" t="s">
        <v>58</v>
      </c>
      <c r="D67" s="0" t="n">
        <v>7210</v>
      </c>
      <c r="E67" s="0" t="n">
        <v>12180</v>
      </c>
      <c r="F67" s="0" t="n">
        <f aca="false">D67*E67</f>
        <v>87817800</v>
      </c>
      <c r="G67" s="0" t="n">
        <f aca="false">INDEX(마스터!$E:$E,MATCH(C67,마스터!$A:$A,0))</f>
        <v>5720</v>
      </c>
      <c r="H67" s="0" t="n">
        <f aca="false">D67*G67</f>
        <v>41241200</v>
      </c>
    </row>
    <row r="68" customFormat="false" ht="15" hidden="false" customHeight="false" outlineLevel="0" collapsed="false">
      <c r="A68" s="0" t="s">
        <v>62</v>
      </c>
      <c r="B68" s="1" t="s">
        <v>18</v>
      </c>
      <c r="C68" s="1" t="s">
        <v>69</v>
      </c>
      <c r="D68" s="0" t="n">
        <v>4940</v>
      </c>
      <c r="E68" s="0" t="n">
        <v>12890</v>
      </c>
      <c r="F68" s="0" t="n">
        <f aca="false">D68*E68</f>
        <v>63676600</v>
      </c>
      <c r="G68" s="0" t="n">
        <f aca="false">INDEX(마스터!$E:$E,MATCH(C68,마스터!$A:$A,0))</f>
        <v>6140</v>
      </c>
      <c r="H68" s="0" t="n">
        <f aca="false">D68*G68</f>
        <v>30331600</v>
      </c>
    </row>
    <row r="69" customFormat="false" ht="15" hidden="false" customHeight="false" outlineLevel="0" collapsed="false">
      <c r="A69" s="0" t="s">
        <v>62</v>
      </c>
      <c r="B69" s="1" t="s">
        <v>18</v>
      </c>
      <c r="C69" s="1" t="s">
        <v>66</v>
      </c>
      <c r="D69" s="0" t="n">
        <v>7010</v>
      </c>
      <c r="E69" s="0" t="n">
        <v>13250</v>
      </c>
      <c r="F69" s="0" t="n">
        <f aca="false">D69*E69</f>
        <v>92882500</v>
      </c>
      <c r="G69" s="0" t="n">
        <f aca="false">INDEX(마스터!$E:$E,MATCH(C69,마스터!$A:$A,0))</f>
        <v>6360</v>
      </c>
      <c r="H69" s="0" t="n">
        <f aca="false">D69*G69</f>
        <v>44583600</v>
      </c>
    </row>
    <row r="70" customFormat="false" ht="15" hidden="false" customHeight="false" outlineLevel="0" collapsed="false">
      <c r="A70" s="0" t="s">
        <v>62</v>
      </c>
      <c r="B70" s="1" t="s">
        <v>19</v>
      </c>
      <c r="C70" s="1" t="s">
        <v>70</v>
      </c>
      <c r="D70" s="0" t="n">
        <v>3640</v>
      </c>
      <c r="E70" s="0" t="n">
        <v>11360</v>
      </c>
      <c r="F70" s="0" t="n">
        <f aca="false">D70*E70</f>
        <v>41350400</v>
      </c>
      <c r="G70" s="0" t="n">
        <f aca="false">INDEX(마스터!$E:$E,MATCH(C70,마스터!$A:$A,0))</f>
        <v>5960</v>
      </c>
      <c r="H70" s="0" t="n">
        <f aca="false">D70*G70</f>
        <v>21694400</v>
      </c>
    </row>
    <row r="71" customFormat="false" ht="15" hidden="false" customHeight="false" outlineLevel="0" collapsed="false">
      <c r="A71" s="0" t="s">
        <v>62</v>
      </c>
      <c r="B71" s="1" t="s">
        <v>19</v>
      </c>
      <c r="C71" s="1" t="s">
        <v>61</v>
      </c>
      <c r="D71" s="0" t="n">
        <v>4710</v>
      </c>
      <c r="E71" s="0" t="n">
        <v>10060</v>
      </c>
      <c r="F71" s="0" t="n">
        <f aca="false">D71*E71</f>
        <v>47382600</v>
      </c>
      <c r="G71" s="0" t="n">
        <f aca="false">INDEX(마스터!$E:$E,MATCH(C71,마스터!$A:$A,0))</f>
        <v>5390</v>
      </c>
      <c r="H71" s="0" t="n">
        <f aca="false">D71*G71</f>
        <v>25386900</v>
      </c>
    </row>
    <row r="72" customFormat="false" ht="15" hidden="false" customHeight="false" outlineLevel="0" collapsed="false">
      <c r="A72" s="0" t="s">
        <v>62</v>
      </c>
      <c r="B72" s="1" t="s">
        <v>19</v>
      </c>
      <c r="C72" s="1" t="s">
        <v>55</v>
      </c>
      <c r="D72" s="0" t="n">
        <v>4790</v>
      </c>
      <c r="E72" s="0" t="n">
        <v>12010</v>
      </c>
      <c r="F72" s="0" t="n">
        <f aca="false">D72*E72</f>
        <v>57527900</v>
      </c>
      <c r="G72" s="0" t="n">
        <f aca="false">INDEX(마스터!$E:$E,MATCH(C72,마스터!$A:$A,0))</f>
        <v>6040</v>
      </c>
      <c r="H72" s="0" t="n">
        <f aca="false">D72*G72</f>
        <v>28931600</v>
      </c>
    </row>
    <row r="73" customFormat="false" ht="15" hidden="false" customHeight="false" outlineLevel="0" collapsed="false">
      <c r="A73" s="0" t="s">
        <v>62</v>
      </c>
      <c r="B73" s="1" t="s">
        <v>19</v>
      </c>
      <c r="C73" s="1" t="s">
        <v>51</v>
      </c>
      <c r="D73" s="0" t="n">
        <v>5830</v>
      </c>
      <c r="E73" s="0" t="n">
        <v>13310</v>
      </c>
      <c r="F73" s="0" t="n">
        <f aca="false">D73*E73</f>
        <v>77597300</v>
      </c>
      <c r="G73" s="0" t="n">
        <f aca="false">INDEX(마스터!$E:$E,MATCH(C73,마스터!$A:$A,0))</f>
        <v>7480</v>
      </c>
      <c r="H73" s="0" t="n">
        <f aca="false">D73*G73</f>
        <v>43608400</v>
      </c>
    </row>
    <row r="74" customFormat="false" ht="15" hidden="false" customHeight="false" outlineLevel="0" collapsed="false">
      <c r="A74" s="0" t="s">
        <v>62</v>
      </c>
      <c r="B74" s="1" t="s">
        <v>19</v>
      </c>
      <c r="C74" s="1" t="s">
        <v>71</v>
      </c>
      <c r="D74" s="0" t="n">
        <v>4220</v>
      </c>
      <c r="E74" s="0" t="n">
        <v>8440</v>
      </c>
      <c r="F74" s="0" t="n">
        <f aca="false">D74*E74</f>
        <v>35616800</v>
      </c>
      <c r="G74" s="0" t="n">
        <f aca="false">INDEX(마스터!$E:$E,MATCH(C74,마스터!$A:$A,0))</f>
        <v>4330</v>
      </c>
      <c r="H74" s="0" t="n">
        <f aca="false">D74*G74</f>
        <v>18272600</v>
      </c>
    </row>
    <row r="75" customFormat="false" ht="15" hidden="false" customHeight="false" outlineLevel="0" collapsed="false">
      <c r="A75" s="0" t="s">
        <v>62</v>
      </c>
      <c r="B75" s="1" t="s">
        <v>20</v>
      </c>
      <c r="C75" s="1" t="s">
        <v>32</v>
      </c>
      <c r="D75" s="0" t="n">
        <v>3580</v>
      </c>
      <c r="E75" s="0" t="n">
        <v>12250</v>
      </c>
      <c r="F75" s="0" t="n">
        <f aca="false">D75*E75</f>
        <v>43855000</v>
      </c>
      <c r="G75" s="0" t="n">
        <f aca="false">INDEX(마스터!$E:$E,MATCH(C75,마스터!$A:$A,0))</f>
        <v>5790</v>
      </c>
      <c r="H75" s="0" t="n">
        <f aca="false">D75*G75</f>
        <v>20728200</v>
      </c>
    </row>
    <row r="76" customFormat="false" ht="15" hidden="false" customHeight="false" outlineLevel="0" collapsed="false">
      <c r="A76" s="0" t="s">
        <v>62</v>
      </c>
      <c r="B76" s="1" t="s">
        <v>20</v>
      </c>
      <c r="C76" s="1" t="s">
        <v>54</v>
      </c>
      <c r="D76" s="0" t="n">
        <v>3380</v>
      </c>
      <c r="E76" s="0" t="n">
        <v>13690</v>
      </c>
      <c r="F76" s="0" t="n">
        <f aca="false">D76*E76</f>
        <v>46272200</v>
      </c>
      <c r="G76" s="0" t="n">
        <f aca="false">INDEX(마스터!$E:$E,MATCH(C76,마스터!$A:$A,0))</f>
        <v>6790</v>
      </c>
      <c r="H76" s="0" t="n">
        <f aca="false">D76*G76</f>
        <v>22950200</v>
      </c>
    </row>
    <row r="77" customFormat="false" ht="15" hidden="false" customHeight="false" outlineLevel="0" collapsed="false">
      <c r="A77" s="0" t="s">
        <v>62</v>
      </c>
      <c r="B77" s="1" t="s">
        <v>20</v>
      </c>
      <c r="C77" s="1" t="s">
        <v>48</v>
      </c>
      <c r="D77" s="0" t="n">
        <v>4280</v>
      </c>
      <c r="E77" s="0" t="n">
        <v>13330</v>
      </c>
      <c r="F77" s="0" t="n">
        <f aca="false">D77*E77</f>
        <v>57052400</v>
      </c>
      <c r="G77" s="0" t="n">
        <f aca="false">INDEX(마스터!$E:$E,MATCH(C77,마스터!$A:$A,0))</f>
        <v>6440</v>
      </c>
      <c r="H77" s="0" t="n">
        <f aca="false">D77*G77</f>
        <v>27563200</v>
      </c>
    </row>
    <row r="78" customFormat="false" ht="15" hidden="false" customHeight="false" outlineLevel="0" collapsed="false">
      <c r="A78" s="0" t="s">
        <v>62</v>
      </c>
      <c r="B78" s="1" t="s">
        <v>20</v>
      </c>
      <c r="C78" s="1" t="s">
        <v>47</v>
      </c>
      <c r="D78" s="0" t="n">
        <v>5110</v>
      </c>
      <c r="E78" s="0" t="n">
        <v>9370</v>
      </c>
      <c r="F78" s="0" t="n">
        <f aca="false">D78*E78</f>
        <v>47880700</v>
      </c>
      <c r="G78" s="0" t="n">
        <f aca="false">INDEX(마스터!$E:$E,MATCH(C78,마스터!$A:$A,0))</f>
        <v>4170</v>
      </c>
      <c r="H78" s="0" t="n">
        <f aca="false">D78*G78</f>
        <v>21308700</v>
      </c>
    </row>
    <row r="79" customFormat="false" ht="15" hidden="false" customHeight="false" outlineLevel="0" collapsed="false">
      <c r="A79" s="0" t="s">
        <v>62</v>
      </c>
      <c r="B79" s="1" t="s">
        <v>21</v>
      </c>
      <c r="C79" s="1" t="s">
        <v>56</v>
      </c>
      <c r="D79" s="0" t="n">
        <v>4280</v>
      </c>
      <c r="E79" s="0" t="n">
        <v>10850</v>
      </c>
      <c r="F79" s="0" t="n">
        <f aca="false">D79*E79</f>
        <v>46438000</v>
      </c>
      <c r="G79" s="0" t="n">
        <f aca="false">INDEX(마스터!$E:$E,MATCH(C79,마스터!$A:$A,0))</f>
        <v>5470</v>
      </c>
      <c r="H79" s="0" t="n">
        <f aca="false">D79*G79</f>
        <v>23411600</v>
      </c>
    </row>
    <row r="80" customFormat="false" ht="15" hidden="false" customHeight="false" outlineLevel="0" collapsed="false">
      <c r="A80" s="0" t="s">
        <v>62</v>
      </c>
      <c r="B80" s="1" t="s">
        <v>21</v>
      </c>
      <c r="C80" s="1" t="s">
        <v>72</v>
      </c>
      <c r="D80" s="0" t="n">
        <v>5700</v>
      </c>
      <c r="E80" s="0" t="n">
        <v>12250</v>
      </c>
      <c r="F80" s="0" t="n">
        <f aca="false">D80*E80</f>
        <v>69825000</v>
      </c>
      <c r="G80" s="0" t="n">
        <f aca="false">INDEX(마스터!$E:$E,MATCH(C80,마스터!$A:$A,0))</f>
        <v>5920</v>
      </c>
      <c r="H80" s="0" t="n">
        <f aca="false">D80*G80</f>
        <v>33744000</v>
      </c>
    </row>
    <row r="81" customFormat="false" ht="15" hidden="false" customHeight="false" outlineLevel="0" collapsed="false">
      <c r="A81" s="0" t="s">
        <v>62</v>
      </c>
      <c r="B81" s="1" t="s">
        <v>21</v>
      </c>
      <c r="C81" s="1" t="s">
        <v>67</v>
      </c>
      <c r="D81" s="0" t="n">
        <v>5770</v>
      </c>
      <c r="E81" s="0" t="n">
        <v>9800</v>
      </c>
      <c r="F81" s="0" t="n">
        <f aca="false">D81*E81</f>
        <v>56546000</v>
      </c>
      <c r="G81" s="0" t="n">
        <f aca="false">INDEX(마스터!$E:$E,MATCH(C81,마스터!$A:$A,0))</f>
        <v>4360</v>
      </c>
      <c r="H81" s="0" t="n">
        <f aca="false">D81*G81</f>
        <v>25157200</v>
      </c>
    </row>
    <row r="82" customFormat="false" ht="15" hidden="false" customHeight="false" outlineLevel="0" collapsed="false">
      <c r="A82" s="0" t="s">
        <v>62</v>
      </c>
      <c r="B82" s="1" t="s">
        <v>22</v>
      </c>
      <c r="C82" s="1" t="s">
        <v>65</v>
      </c>
      <c r="D82" s="0" t="n">
        <v>5450</v>
      </c>
      <c r="E82" s="0" t="n">
        <v>14360</v>
      </c>
      <c r="F82" s="0" t="n">
        <f aca="false">D82*E82</f>
        <v>78262000</v>
      </c>
      <c r="G82" s="0" t="n">
        <f aca="false">INDEX(마스터!$E:$E,MATCH(C82,마스터!$A:$A,0))</f>
        <v>6670</v>
      </c>
      <c r="H82" s="0" t="n">
        <f aca="false">D82*G82</f>
        <v>36351500</v>
      </c>
    </row>
    <row r="83" customFormat="false" ht="15" hidden="false" customHeight="false" outlineLevel="0" collapsed="false">
      <c r="A83" s="0" t="s">
        <v>62</v>
      </c>
      <c r="B83" s="1" t="s">
        <v>22</v>
      </c>
      <c r="C83" s="1" t="s">
        <v>48</v>
      </c>
      <c r="D83" s="0" t="n">
        <v>7630</v>
      </c>
      <c r="E83" s="0" t="n">
        <v>12960</v>
      </c>
      <c r="F83" s="0" t="n">
        <f aca="false">D83*E83</f>
        <v>98884800</v>
      </c>
      <c r="G83" s="0" t="n">
        <f aca="false">INDEX(마스터!$E:$E,MATCH(C83,마스터!$A:$A,0))</f>
        <v>6440</v>
      </c>
      <c r="H83" s="0" t="n">
        <f aca="false">D83*G83</f>
        <v>49137200</v>
      </c>
    </row>
    <row r="84" customFormat="false" ht="15" hidden="false" customHeight="false" outlineLevel="0" collapsed="false">
      <c r="A84" s="0" t="s">
        <v>62</v>
      </c>
      <c r="B84" s="1" t="s">
        <v>23</v>
      </c>
      <c r="C84" s="1" t="s">
        <v>48</v>
      </c>
      <c r="D84" s="0" t="n">
        <v>5340</v>
      </c>
      <c r="E84" s="0" t="n">
        <v>12910</v>
      </c>
      <c r="F84" s="0" t="n">
        <f aca="false">D84*E84</f>
        <v>68939400</v>
      </c>
      <c r="G84" s="0" t="n">
        <f aca="false">INDEX(마스터!$E:$E,MATCH(C84,마스터!$A:$A,0))</f>
        <v>6440</v>
      </c>
      <c r="H84" s="0" t="n">
        <f aca="false">D84*G84</f>
        <v>34389600</v>
      </c>
    </row>
    <row r="85" customFormat="false" ht="15" hidden="false" customHeight="false" outlineLevel="0" collapsed="false">
      <c r="A85" s="0" t="s">
        <v>62</v>
      </c>
      <c r="B85" s="1" t="s">
        <v>23</v>
      </c>
      <c r="C85" s="1" t="s">
        <v>42</v>
      </c>
      <c r="D85" s="0" t="n">
        <v>6250</v>
      </c>
      <c r="E85" s="0" t="n">
        <v>13250</v>
      </c>
      <c r="F85" s="0" t="n">
        <f aca="false">D85*E85</f>
        <v>82812500</v>
      </c>
      <c r="G85" s="0" t="n">
        <f aca="false">INDEX(마스터!$E:$E,MATCH(C85,마스터!$A:$A,0))</f>
        <v>6730</v>
      </c>
      <c r="H85" s="0" t="n">
        <f aca="false">D85*G85</f>
        <v>42062500</v>
      </c>
    </row>
    <row r="86" customFormat="false" ht="15" hidden="false" customHeight="false" outlineLevel="0" collapsed="false">
      <c r="A86" s="0" t="s">
        <v>62</v>
      </c>
      <c r="B86" s="1" t="s">
        <v>25</v>
      </c>
      <c r="C86" s="1" t="s">
        <v>37</v>
      </c>
      <c r="D86" s="0" t="n">
        <v>4700</v>
      </c>
      <c r="E86" s="0" t="n">
        <v>10510</v>
      </c>
      <c r="F86" s="0" t="n">
        <f aca="false">D86*E86</f>
        <v>49397000</v>
      </c>
      <c r="G86" s="0" t="n">
        <f aca="false">INDEX(마스터!$E:$E,MATCH(C86,마스터!$A:$A,0))</f>
        <v>4900</v>
      </c>
      <c r="H86" s="0" t="n">
        <f aca="false">D86*G86</f>
        <v>23030000</v>
      </c>
    </row>
    <row r="87" customFormat="false" ht="15" hidden="false" customHeight="false" outlineLevel="0" collapsed="false">
      <c r="A87" s="0" t="s">
        <v>62</v>
      </c>
      <c r="B87" s="1" t="s">
        <v>25</v>
      </c>
      <c r="C87" s="1" t="s">
        <v>42</v>
      </c>
      <c r="D87" s="0" t="n">
        <v>4810</v>
      </c>
      <c r="E87" s="0" t="n">
        <v>13310</v>
      </c>
      <c r="F87" s="0" t="n">
        <f aca="false">D87*E87</f>
        <v>64021100</v>
      </c>
      <c r="G87" s="0" t="n">
        <f aca="false">INDEX(마스터!$E:$E,MATCH(C87,마스터!$A:$A,0))</f>
        <v>6730</v>
      </c>
      <c r="H87" s="0" t="n">
        <f aca="false">D87*G87</f>
        <v>32371300</v>
      </c>
    </row>
    <row r="88" customFormat="false" ht="15" hidden="false" customHeight="false" outlineLevel="0" collapsed="false">
      <c r="A88" s="0" t="s">
        <v>62</v>
      </c>
      <c r="B88" s="1" t="s">
        <v>24</v>
      </c>
      <c r="C88" s="1" t="s">
        <v>60</v>
      </c>
      <c r="D88" s="0" t="n">
        <v>4230</v>
      </c>
      <c r="E88" s="0" t="n">
        <v>13680</v>
      </c>
      <c r="F88" s="0" t="n">
        <f aca="false">D88*E88</f>
        <v>57866400</v>
      </c>
      <c r="G88" s="0" t="n">
        <f aca="false">INDEX(마스터!$E:$E,MATCH(C88,마스터!$A:$A,0))</f>
        <v>6980</v>
      </c>
      <c r="H88" s="0" t="n">
        <f aca="false">D88*G88</f>
        <v>29525400</v>
      </c>
    </row>
    <row r="89" customFormat="false" ht="15" hidden="false" customHeight="false" outlineLevel="0" collapsed="false">
      <c r="A89" s="0" t="s">
        <v>62</v>
      </c>
      <c r="B89" s="1" t="s">
        <v>24</v>
      </c>
      <c r="C89" s="1" t="s">
        <v>42</v>
      </c>
      <c r="D89" s="0" t="n">
        <v>5280</v>
      </c>
      <c r="E89" s="0" t="n">
        <v>13330</v>
      </c>
      <c r="F89" s="0" t="n">
        <f aca="false">D89*E89</f>
        <v>70382400</v>
      </c>
      <c r="G89" s="0" t="n">
        <f aca="false">INDEX(마스터!$E:$E,MATCH(C89,마스터!$A:$A,0))</f>
        <v>6730</v>
      </c>
      <c r="H89" s="0" t="n">
        <f aca="false">D89*G89</f>
        <v>35534400</v>
      </c>
    </row>
    <row r="90" customFormat="false" ht="15" hidden="false" customHeight="false" outlineLevel="0" collapsed="false">
      <c r="A90" s="0" t="s">
        <v>73</v>
      </c>
      <c r="B90" s="1" t="s">
        <v>14</v>
      </c>
      <c r="C90" s="1" t="s">
        <v>74</v>
      </c>
      <c r="D90" s="0" t="n">
        <v>10060</v>
      </c>
      <c r="E90" s="0" t="n">
        <v>10950</v>
      </c>
      <c r="F90" s="0" t="n">
        <f aca="false">D90*E90</f>
        <v>110157000</v>
      </c>
      <c r="G90" s="0" t="n">
        <f aca="false">INDEX(마스터!$E:$E,MATCH(C90,마스터!$A:$A,0))</f>
        <v>5400</v>
      </c>
      <c r="H90" s="0" t="n">
        <f aca="false">D90*G90</f>
        <v>54324000</v>
      </c>
    </row>
    <row r="91" customFormat="false" ht="15" hidden="false" customHeight="false" outlineLevel="0" collapsed="false">
      <c r="A91" s="0" t="s">
        <v>73</v>
      </c>
      <c r="B91" s="1" t="s">
        <v>14</v>
      </c>
      <c r="C91" s="1" t="s">
        <v>38</v>
      </c>
      <c r="D91" s="0" t="n">
        <v>27780</v>
      </c>
      <c r="E91" s="0" t="n">
        <v>11270</v>
      </c>
      <c r="F91" s="0" t="n">
        <f aca="false">D91*E91</f>
        <v>313080600</v>
      </c>
      <c r="G91" s="0" t="n">
        <f aca="false">INDEX(마스터!$E:$E,MATCH(C91,마스터!$A:$A,0))</f>
        <v>5670</v>
      </c>
      <c r="H91" s="0" t="n">
        <f aca="false">D91*G91</f>
        <v>157512600</v>
      </c>
    </row>
    <row r="92" customFormat="false" ht="15" hidden="false" customHeight="false" outlineLevel="0" collapsed="false">
      <c r="A92" s="0" t="s">
        <v>73</v>
      </c>
      <c r="B92" s="1" t="s">
        <v>14</v>
      </c>
      <c r="C92" s="1" t="s">
        <v>64</v>
      </c>
      <c r="D92" s="0" t="n">
        <v>9780</v>
      </c>
      <c r="E92" s="0" t="n">
        <v>11590</v>
      </c>
      <c r="F92" s="0" t="n">
        <f aca="false">D92*E92</f>
        <v>113350200</v>
      </c>
      <c r="G92" s="0" t="n">
        <f aca="false">INDEX(마스터!$E:$E,MATCH(C92,마스터!$A:$A,0))</f>
        <v>5890</v>
      </c>
      <c r="H92" s="0" t="n">
        <f aca="false">D92*G92</f>
        <v>57604200</v>
      </c>
    </row>
    <row r="93" customFormat="false" ht="15" hidden="false" customHeight="false" outlineLevel="0" collapsed="false">
      <c r="A93" s="0" t="s">
        <v>73</v>
      </c>
      <c r="B93" s="1" t="s">
        <v>14</v>
      </c>
      <c r="C93" s="1" t="s">
        <v>65</v>
      </c>
      <c r="D93" s="0" t="n">
        <v>6510</v>
      </c>
      <c r="E93" s="0" t="n">
        <v>13200</v>
      </c>
      <c r="F93" s="0" t="n">
        <f aca="false">D93*E93</f>
        <v>85932000</v>
      </c>
      <c r="G93" s="0" t="n">
        <f aca="false">INDEX(마스터!$E:$E,MATCH(C93,마스터!$A:$A,0))</f>
        <v>6670</v>
      </c>
      <c r="H93" s="0" t="n">
        <f aca="false">D93*G93</f>
        <v>43421700</v>
      </c>
    </row>
    <row r="94" customFormat="false" ht="15" hidden="false" customHeight="false" outlineLevel="0" collapsed="false">
      <c r="A94" s="0" t="s">
        <v>73</v>
      </c>
      <c r="B94" s="1" t="s">
        <v>14</v>
      </c>
      <c r="C94" s="1" t="s">
        <v>35</v>
      </c>
      <c r="D94" s="0" t="n">
        <v>6660</v>
      </c>
      <c r="E94" s="0" t="n">
        <v>9660</v>
      </c>
      <c r="F94" s="0" t="n">
        <f aca="false">D94*E94</f>
        <v>64335600</v>
      </c>
      <c r="G94" s="0" t="n">
        <f aca="false">INDEX(마스터!$E:$E,MATCH(C94,마스터!$A:$A,0))</f>
        <v>4920</v>
      </c>
      <c r="H94" s="0" t="n">
        <f aca="false">D94*G94</f>
        <v>32767200</v>
      </c>
    </row>
    <row r="95" customFormat="false" ht="15" hidden="false" customHeight="false" outlineLevel="0" collapsed="false">
      <c r="A95" s="0" t="s">
        <v>73</v>
      </c>
      <c r="B95" s="1" t="s">
        <v>15</v>
      </c>
      <c r="C95" s="1" t="s">
        <v>45</v>
      </c>
      <c r="D95" s="0" t="n">
        <v>6880</v>
      </c>
      <c r="E95" s="0" t="n">
        <v>12050</v>
      </c>
      <c r="F95" s="0" t="n">
        <f aca="false">D95*E95</f>
        <v>82904000</v>
      </c>
      <c r="G95" s="0" t="n">
        <f aca="false">INDEX(마스터!$E:$E,MATCH(C95,마스터!$A:$A,0))</f>
        <v>6110</v>
      </c>
      <c r="H95" s="0" t="n">
        <f aca="false">D95*G95</f>
        <v>42036800</v>
      </c>
    </row>
    <row r="96" customFormat="false" ht="15" hidden="false" customHeight="false" outlineLevel="0" collapsed="false">
      <c r="A96" s="0" t="s">
        <v>73</v>
      </c>
      <c r="B96" s="1" t="s">
        <v>15</v>
      </c>
      <c r="C96" s="1" t="s">
        <v>38</v>
      </c>
      <c r="D96" s="0" t="n">
        <v>13940</v>
      </c>
      <c r="E96" s="0" t="n">
        <v>11400</v>
      </c>
      <c r="F96" s="0" t="n">
        <f aca="false">D96*E96</f>
        <v>158916000</v>
      </c>
      <c r="G96" s="0" t="n">
        <f aca="false">INDEX(마스터!$E:$E,MATCH(C96,마스터!$A:$A,0))</f>
        <v>5670</v>
      </c>
      <c r="H96" s="0" t="n">
        <f aca="false">D96*G96</f>
        <v>79039800</v>
      </c>
    </row>
    <row r="97" customFormat="false" ht="15" hidden="false" customHeight="false" outlineLevel="0" collapsed="false">
      <c r="A97" s="0" t="s">
        <v>73</v>
      </c>
      <c r="B97" s="1" t="s">
        <v>15</v>
      </c>
      <c r="C97" s="1" t="s">
        <v>41</v>
      </c>
      <c r="D97" s="0" t="n">
        <v>8830</v>
      </c>
      <c r="E97" s="0" t="n">
        <v>11070</v>
      </c>
      <c r="F97" s="0" t="n">
        <f aca="false">D97*E97</f>
        <v>97748100</v>
      </c>
      <c r="G97" s="0" t="n">
        <f aca="false">INDEX(마스터!$E:$E,MATCH(C97,마스터!$A:$A,0))</f>
        <v>5480</v>
      </c>
      <c r="H97" s="0" t="n">
        <f aca="false">D97*G97</f>
        <v>48388400</v>
      </c>
    </row>
    <row r="98" customFormat="false" ht="15" hidden="false" customHeight="false" outlineLevel="0" collapsed="false">
      <c r="A98" s="0" t="s">
        <v>73</v>
      </c>
      <c r="B98" s="1" t="s">
        <v>15</v>
      </c>
      <c r="C98" s="1" t="s">
        <v>34</v>
      </c>
      <c r="D98" s="0" t="n">
        <v>8210</v>
      </c>
      <c r="E98" s="0" t="n">
        <v>12050</v>
      </c>
      <c r="F98" s="0" t="n">
        <f aca="false">D98*E98</f>
        <v>98930500</v>
      </c>
      <c r="G98" s="0" t="n">
        <f aca="false">INDEX(마스터!$E:$E,MATCH(C98,마스터!$A:$A,0))</f>
        <v>6630</v>
      </c>
      <c r="H98" s="0" t="n">
        <f aca="false">D98*G98</f>
        <v>54432300</v>
      </c>
    </row>
    <row r="99" customFormat="false" ht="15" hidden="false" customHeight="false" outlineLevel="0" collapsed="false">
      <c r="A99" s="0" t="s">
        <v>73</v>
      </c>
      <c r="B99" s="1" t="s">
        <v>15</v>
      </c>
      <c r="C99" s="1" t="s">
        <v>48</v>
      </c>
      <c r="D99" s="0" t="n">
        <v>8330</v>
      </c>
      <c r="E99" s="0" t="n">
        <v>12050</v>
      </c>
      <c r="F99" s="0" t="n">
        <f aca="false">D99*E99</f>
        <v>100376500</v>
      </c>
      <c r="G99" s="0" t="n">
        <f aca="false">INDEX(마스터!$E:$E,MATCH(C99,마스터!$A:$A,0))</f>
        <v>6440</v>
      </c>
      <c r="H99" s="0" t="n">
        <f aca="false">D99*G99</f>
        <v>53645200</v>
      </c>
    </row>
    <row r="100" customFormat="false" ht="15" hidden="false" customHeight="false" outlineLevel="0" collapsed="false">
      <c r="A100" s="0" t="s">
        <v>73</v>
      </c>
      <c r="B100" s="1" t="s">
        <v>15</v>
      </c>
      <c r="C100" s="1" t="s">
        <v>40</v>
      </c>
      <c r="D100" s="0" t="n">
        <v>4400</v>
      </c>
      <c r="E100" s="0" t="n">
        <v>9120</v>
      </c>
      <c r="F100" s="0" t="n">
        <f aca="false">D100*E100</f>
        <v>40128000</v>
      </c>
      <c r="G100" s="0" t="n">
        <f aca="false">INDEX(마스터!$E:$E,MATCH(C100,마스터!$A:$A,0))</f>
        <v>4740</v>
      </c>
      <c r="H100" s="0" t="n">
        <f aca="false">D100*G100</f>
        <v>20856000</v>
      </c>
    </row>
    <row r="101" customFormat="false" ht="15" hidden="false" customHeight="false" outlineLevel="0" collapsed="false">
      <c r="A101" s="0" t="s">
        <v>73</v>
      </c>
      <c r="B101" s="1" t="s">
        <v>16</v>
      </c>
      <c r="C101" s="1" t="s">
        <v>37</v>
      </c>
      <c r="D101" s="0" t="n">
        <v>10660</v>
      </c>
      <c r="E101" s="0" t="n">
        <v>10770</v>
      </c>
      <c r="F101" s="0" t="n">
        <f aca="false">D101*E101</f>
        <v>114808200</v>
      </c>
      <c r="G101" s="0" t="n">
        <f aca="false">INDEX(마스터!$E:$E,MATCH(C101,마스터!$A:$A,0))</f>
        <v>4900</v>
      </c>
      <c r="H101" s="0" t="n">
        <f aca="false">D101*G101</f>
        <v>52234000</v>
      </c>
    </row>
    <row r="102" customFormat="false" ht="15" hidden="false" customHeight="false" outlineLevel="0" collapsed="false">
      <c r="A102" s="0" t="s">
        <v>73</v>
      </c>
      <c r="B102" s="1" t="s">
        <v>16</v>
      </c>
      <c r="C102" s="1" t="s">
        <v>38</v>
      </c>
      <c r="D102" s="0" t="n">
        <v>12900</v>
      </c>
      <c r="E102" s="0" t="n">
        <v>12560</v>
      </c>
      <c r="F102" s="0" t="n">
        <f aca="false">D102*E102</f>
        <v>162024000</v>
      </c>
      <c r="G102" s="0" t="n">
        <f aca="false">INDEX(마스터!$E:$E,MATCH(C102,마스터!$A:$A,0))</f>
        <v>5670</v>
      </c>
      <c r="H102" s="0" t="n">
        <f aca="false">D102*G102</f>
        <v>73143000</v>
      </c>
    </row>
    <row r="103" customFormat="false" ht="15" hidden="false" customHeight="false" outlineLevel="0" collapsed="false">
      <c r="A103" s="0" t="s">
        <v>73</v>
      </c>
      <c r="B103" s="1" t="s">
        <v>16</v>
      </c>
      <c r="C103" s="1" t="s">
        <v>34</v>
      </c>
      <c r="D103" s="0" t="n">
        <v>9780</v>
      </c>
      <c r="E103" s="0" t="n">
        <v>13280</v>
      </c>
      <c r="F103" s="0" t="n">
        <f aca="false">D103*E103</f>
        <v>129878400</v>
      </c>
      <c r="G103" s="0" t="n">
        <f aca="false">INDEX(마스터!$E:$E,MATCH(C103,마스터!$A:$A,0))</f>
        <v>6630</v>
      </c>
      <c r="H103" s="0" t="n">
        <f aca="false">D103*G103</f>
        <v>64841400</v>
      </c>
    </row>
    <row r="104" customFormat="false" ht="15" hidden="false" customHeight="false" outlineLevel="0" collapsed="false">
      <c r="A104" s="0" t="s">
        <v>73</v>
      </c>
      <c r="B104" s="1" t="s">
        <v>16</v>
      </c>
      <c r="C104" s="1" t="s">
        <v>44</v>
      </c>
      <c r="D104" s="0" t="n">
        <v>6320</v>
      </c>
      <c r="E104" s="0" t="n">
        <v>12200</v>
      </c>
      <c r="F104" s="0" t="n">
        <f aca="false">D104*E104</f>
        <v>77104000</v>
      </c>
      <c r="G104" s="0" t="n">
        <f aca="false">INDEX(마스터!$E:$E,MATCH(C104,마스터!$A:$A,0))</f>
        <v>5500</v>
      </c>
      <c r="H104" s="0" t="n">
        <f aca="false">D104*G104</f>
        <v>34760000</v>
      </c>
    </row>
    <row r="105" customFormat="false" ht="15" hidden="false" customHeight="false" outlineLevel="0" collapsed="false">
      <c r="A105" s="0" t="s">
        <v>73</v>
      </c>
      <c r="B105" s="1" t="s">
        <v>17</v>
      </c>
      <c r="C105" s="1" t="s">
        <v>61</v>
      </c>
      <c r="D105" s="0" t="n">
        <v>5390</v>
      </c>
      <c r="E105" s="0" t="n">
        <v>10010</v>
      </c>
      <c r="F105" s="0" t="n">
        <f aca="false">D105*E105</f>
        <v>53953900</v>
      </c>
      <c r="G105" s="0" t="n">
        <f aca="false">INDEX(마스터!$E:$E,MATCH(C105,마스터!$A:$A,0))</f>
        <v>5390</v>
      </c>
      <c r="H105" s="0" t="n">
        <f aca="false">D105*G105</f>
        <v>29052100</v>
      </c>
    </row>
    <row r="106" customFormat="false" ht="15" hidden="false" customHeight="false" outlineLevel="0" collapsed="false">
      <c r="A106" s="0" t="s">
        <v>73</v>
      </c>
      <c r="B106" s="1" t="s">
        <v>17</v>
      </c>
      <c r="C106" s="1" t="s">
        <v>38</v>
      </c>
      <c r="D106" s="0" t="n">
        <v>8610</v>
      </c>
      <c r="E106" s="0" t="n">
        <v>11300</v>
      </c>
      <c r="F106" s="0" t="n">
        <f aca="false">D106*E106</f>
        <v>97293000</v>
      </c>
      <c r="G106" s="0" t="n">
        <f aca="false">INDEX(마스터!$E:$E,MATCH(C106,마스터!$A:$A,0))</f>
        <v>5670</v>
      </c>
      <c r="H106" s="0" t="n">
        <f aca="false">D106*G106</f>
        <v>48818700</v>
      </c>
    </row>
    <row r="107" customFormat="false" ht="15" hidden="false" customHeight="false" outlineLevel="0" collapsed="false">
      <c r="A107" s="0" t="s">
        <v>73</v>
      </c>
      <c r="B107" s="1" t="s">
        <v>17</v>
      </c>
      <c r="C107" s="1" t="s">
        <v>41</v>
      </c>
      <c r="D107" s="0" t="n">
        <v>4430</v>
      </c>
      <c r="E107" s="0" t="n">
        <v>10980</v>
      </c>
      <c r="F107" s="0" t="n">
        <f aca="false">D107*E107</f>
        <v>48641400</v>
      </c>
      <c r="G107" s="0" t="n">
        <f aca="false">INDEX(마스터!$E:$E,MATCH(C107,마스터!$A:$A,0))</f>
        <v>5480</v>
      </c>
      <c r="H107" s="0" t="n">
        <f aca="false">D107*G107</f>
        <v>24276400</v>
      </c>
    </row>
    <row r="108" customFormat="false" ht="15" hidden="false" customHeight="false" outlineLevel="0" collapsed="false">
      <c r="A108" s="0" t="s">
        <v>73</v>
      </c>
      <c r="B108" s="1" t="s">
        <v>17</v>
      </c>
      <c r="C108" s="1" t="s">
        <v>46</v>
      </c>
      <c r="D108" s="0" t="n">
        <v>6260</v>
      </c>
      <c r="E108" s="0" t="n">
        <v>13240</v>
      </c>
      <c r="F108" s="0" t="n">
        <f aca="false">D108*E108</f>
        <v>82882400</v>
      </c>
      <c r="G108" s="0" t="n">
        <f aca="false">INDEX(마스터!$E:$E,MATCH(C108,마스터!$A:$A,0))</f>
        <v>6910</v>
      </c>
      <c r="H108" s="0" t="n">
        <f aca="false">D108*G108</f>
        <v>43256600</v>
      </c>
    </row>
    <row r="109" customFormat="false" ht="15" hidden="false" customHeight="false" outlineLevel="0" collapsed="false">
      <c r="A109" s="0" t="s">
        <v>73</v>
      </c>
      <c r="B109" s="1" t="s">
        <v>17</v>
      </c>
      <c r="C109" s="1" t="s">
        <v>56</v>
      </c>
      <c r="D109" s="0" t="n">
        <v>3300</v>
      </c>
      <c r="E109" s="0" t="n">
        <v>10010</v>
      </c>
      <c r="F109" s="0" t="n">
        <f aca="false">D109*E109</f>
        <v>33033000</v>
      </c>
      <c r="G109" s="0" t="n">
        <f aca="false">INDEX(마스터!$E:$E,MATCH(C109,마스터!$A:$A,0))</f>
        <v>5470</v>
      </c>
      <c r="H109" s="0" t="n">
        <f aca="false">D109*G109</f>
        <v>18051000</v>
      </c>
    </row>
    <row r="110" customFormat="false" ht="15" hidden="false" customHeight="false" outlineLevel="0" collapsed="false">
      <c r="A110" s="0" t="s">
        <v>73</v>
      </c>
      <c r="B110" s="1" t="s">
        <v>17</v>
      </c>
      <c r="C110" s="1" t="s">
        <v>71</v>
      </c>
      <c r="D110" s="0" t="n">
        <v>4080</v>
      </c>
      <c r="E110" s="0" t="n">
        <v>8400</v>
      </c>
      <c r="F110" s="0" t="n">
        <f aca="false">D110*E110</f>
        <v>34272000</v>
      </c>
      <c r="G110" s="0" t="n">
        <f aca="false">INDEX(마스터!$E:$E,MATCH(C110,마스터!$A:$A,0))</f>
        <v>4330</v>
      </c>
      <c r="H110" s="0" t="n">
        <f aca="false">D110*G110</f>
        <v>17666400</v>
      </c>
    </row>
    <row r="111" customFormat="false" ht="15" hidden="false" customHeight="false" outlineLevel="0" collapsed="false">
      <c r="A111" s="0" t="s">
        <v>73</v>
      </c>
      <c r="B111" s="1" t="s">
        <v>18</v>
      </c>
      <c r="C111" s="1" t="s">
        <v>58</v>
      </c>
      <c r="D111" s="0" t="n">
        <v>7240</v>
      </c>
      <c r="E111" s="0" t="n">
        <v>12170</v>
      </c>
      <c r="F111" s="0" t="n">
        <f aca="false">D111*E111</f>
        <v>88110800</v>
      </c>
      <c r="G111" s="0" t="n">
        <f aca="false">INDEX(마스터!$E:$E,MATCH(C111,마스터!$A:$A,0))</f>
        <v>5720</v>
      </c>
      <c r="H111" s="0" t="n">
        <f aca="false">D111*G111</f>
        <v>41412800</v>
      </c>
    </row>
    <row r="112" customFormat="false" ht="15" hidden="false" customHeight="false" outlineLevel="0" collapsed="false">
      <c r="A112" s="0" t="s">
        <v>73</v>
      </c>
      <c r="B112" s="1" t="s">
        <v>18</v>
      </c>
      <c r="C112" s="1" t="s">
        <v>54</v>
      </c>
      <c r="D112" s="0" t="n">
        <v>5680</v>
      </c>
      <c r="E112" s="0" t="n">
        <v>13610</v>
      </c>
      <c r="F112" s="0" t="n">
        <f aca="false">D112*E112</f>
        <v>77304800</v>
      </c>
      <c r="G112" s="0" t="n">
        <f aca="false">INDEX(마스터!$E:$E,MATCH(C112,마스터!$A:$A,0))</f>
        <v>6790</v>
      </c>
      <c r="H112" s="0" t="n">
        <f aca="false">D112*G112</f>
        <v>38567200</v>
      </c>
    </row>
    <row r="113" customFormat="false" ht="15" hidden="false" customHeight="false" outlineLevel="0" collapsed="false">
      <c r="A113" s="0" t="s">
        <v>73</v>
      </c>
      <c r="B113" s="1" t="s">
        <v>18</v>
      </c>
      <c r="C113" s="1" t="s">
        <v>75</v>
      </c>
      <c r="D113" s="0" t="n">
        <v>5630</v>
      </c>
      <c r="E113" s="0" t="n">
        <v>12170</v>
      </c>
      <c r="F113" s="0" t="n">
        <f aca="false">D113*E113</f>
        <v>68517100</v>
      </c>
      <c r="G113" s="0" t="n">
        <f aca="false">INDEX(마스터!$E:$E,MATCH(C113,마스터!$A:$A,0))</f>
        <v>5440</v>
      </c>
      <c r="H113" s="0" t="n">
        <f aca="false">D113*G113</f>
        <v>30627200</v>
      </c>
    </row>
    <row r="114" customFormat="false" ht="15" hidden="false" customHeight="false" outlineLevel="0" collapsed="false">
      <c r="A114" s="0" t="s">
        <v>73</v>
      </c>
      <c r="B114" s="1" t="s">
        <v>18</v>
      </c>
      <c r="C114" s="1" t="s">
        <v>76</v>
      </c>
      <c r="D114" s="0" t="n">
        <v>5960</v>
      </c>
      <c r="E114" s="0" t="n">
        <v>9670</v>
      </c>
      <c r="F114" s="0" t="n">
        <f aca="false">D114*E114</f>
        <v>57633200</v>
      </c>
      <c r="G114" s="0" t="n">
        <f aca="false">INDEX(마스터!$E:$E,MATCH(C114,마스터!$A:$A,0))</f>
        <v>4150</v>
      </c>
      <c r="H114" s="0" t="n">
        <f aca="false">D114*G114</f>
        <v>24734000</v>
      </c>
    </row>
    <row r="115" customFormat="false" ht="15" hidden="false" customHeight="false" outlineLevel="0" collapsed="false">
      <c r="A115" s="0" t="s">
        <v>73</v>
      </c>
      <c r="B115" s="1" t="s">
        <v>19</v>
      </c>
      <c r="C115" s="1" t="s">
        <v>49</v>
      </c>
      <c r="D115" s="0" t="n">
        <v>4050</v>
      </c>
      <c r="E115" s="0" t="n">
        <v>10040</v>
      </c>
      <c r="F115" s="0" t="n">
        <f aca="false">D115*E115</f>
        <v>40662000</v>
      </c>
      <c r="G115" s="0" t="n">
        <f aca="false">INDEX(마스터!$E:$E,MATCH(C115,마스터!$A:$A,0))</f>
        <v>5430</v>
      </c>
      <c r="H115" s="0" t="n">
        <f aca="false">D115*G115</f>
        <v>21991500</v>
      </c>
    </row>
    <row r="116" customFormat="false" ht="15" hidden="false" customHeight="false" outlineLevel="0" collapsed="false">
      <c r="A116" s="0" t="s">
        <v>73</v>
      </c>
      <c r="B116" s="1" t="s">
        <v>19</v>
      </c>
      <c r="C116" s="1" t="s">
        <v>60</v>
      </c>
      <c r="D116" s="0" t="n">
        <v>5440</v>
      </c>
      <c r="E116" s="0" t="n">
        <v>12640</v>
      </c>
      <c r="F116" s="0" t="n">
        <f aca="false">D116*E116</f>
        <v>68761600</v>
      </c>
      <c r="G116" s="0" t="n">
        <f aca="false">INDEX(마스터!$E:$E,MATCH(C116,마스터!$A:$A,0))</f>
        <v>6980</v>
      </c>
      <c r="H116" s="0" t="n">
        <f aca="false">D116*G116</f>
        <v>37971200</v>
      </c>
    </row>
    <row r="117" customFormat="false" ht="15" hidden="false" customHeight="false" outlineLevel="0" collapsed="false">
      <c r="A117" s="0" t="s">
        <v>73</v>
      </c>
      <c r="B117" s="1" t="s">
        <v>19</v>
      </c>
      <c r="C117" s="1" t="s">
        <v>64</v>
      </c>
      <c r="D117" s="0" t="n">
        <v>3970</v>
      </c>
      <c r="E117" s="0" t="n">
        <v>11660</v>
      </c>
      <c r="F117" s="0" t="n">
        <f aca="false">D117*E117</f>
        <v>46290200</v>
      </c>
      <c r="G117" s="0" t="n">
        <f aca="false">INDEX(마스터!$E:$E,MATCH(C117,마스터!$A:$A,0))</f>
        <v>5890</v>
      </c>
      <c r="H117" s="0" t="n">
        <f aca="false">D117*G117</f>
        <v>23383300</v>
      </c>
    </row>
    <row r="118" customFormat="false" ht="15" hidden="false" customHeight="false" outlineLevel="0" collapsed="false">
      <c r="A118" s="0" t="s">
        <v>73</v>
      </c>
      <c r="B118" s="1" t="s">
        <v>19</v>
      </c>
      <c r="C118" s="1" t="s">
        <v>71</v>
      </c>
      <c r="D118" s="0" t="n">
        <v>3340</v>
      </c>
      <c r="E118" s="0" t="n">
        <v>8420</v>
      </c>
      <c r="F118" s="0" t="n">
        <f aca="false">D118*E118</f>
        <v>28122800</v>
      </c>
      <c r="G118" s="0" t="n">
        <f aca="false">INDEX(마스터!$E:$E,MATCH(C118,마스터!$A:$A,0))</f>
        <v>4330</v>
      </c>
      <c r="H118" s="0" t="n">
        <f aca="false">D118*G118</f>
        <v>14462200</v>
      </c>
    </row>
    <row r="119" customFormat="false" ht="15" hidden="false" customHeight="false" outlineLevel="0" collapsed="false">
      <c r="A119" s="0" t="s">
        <v>73</v>
      </c>
      <c r="B119" s="1" t="s">
        <v>19</v>
      </c>
      <c r="C119" s="1" t="s">
        <v>47</v>
      </c>
      <c r="D119" s="0" t="n">
        <v>3980</v>
      </c>
      <c r="E119" s="0" t="n">
        <v>8420</v>
      </c>
      <c r="F119" s="0" t="n">
        <f aca="false">D119*E119</f>
        <v>33511600</v>
      </c>
      <c r="G119" s="0" t="n">
        <f aca="false">INDEX(마스터!$E:$E,MATCH(C119,마스터!$A:$A,0))</f>
        <v>4170</v>
      </c>
      <c r="H119" s="0" t="n">
        <f aca="false">D119*G119</f>
        <v>16596600</v>
      </c>
    </row>
    <row r="120" customFormat="false" ht="15" hidden="false" customHeight="false" outlineLevel="0" collapsed="false">
      <c r="A120" s="0" t="s">
        <v>73</v>
      </c>
      <c r="B120" s="1" t="s">
        <v>20</v>
      </c>
      <c r="C120" s="1" t="s">
        <v>59</v>
      </c>
      <c r="D120" s="0" t="n">
        <v>4070</v>
      </c>
      <c r="E120" s="0" t="n">
        <v>14410</v>
      </c>
      <c r="F120" s="0" t="n">
        <f aca="false">D120*E120</f>
        <v>58648700</v>
      </c>
      <c r="G120" s="0" t="n">
        <f aca="false">INDEX(마스터!$E:$E,MATCH(C120,마스터!$A:$A,0))</f>
        <v>6520</v>
      </c>
      <c r="H120" s="0" t="n">
        <f aca="false">D120*G120</f>
        <v>26536400</v>
      </c>
    </row>
    <row r="121" customFormat="false" ht="15" hidden="false" customHeight="false" outlineLevel="0" collapsed="false">
      <c r="A121" s="0" t="s">
        <v>73</v>
      </c>
      <c r="B121" s="1" t="s">
        <v>20</v>
      </c>
      <c r="C121" s="1" t="s">
        <v>34</v>
      </c>
      <c r="D121" s="0" t="n">
        <v>3950</v>
      </c>
      <c r="E121" s="0" t="n">
        <v>13330</v>
      </c>
      <c r="F121" s="0" t="n">
        <f aca="false">D121*E121</f>
        <v>52653500</v>
      </c>
      <c r="G121" s="0" t="n">
        <f aca="false">INDEX(마스터!$E:$E,MATCH(C121,마스터!$A:$A,0))</f>
        <v>6630</v>
      </c>
      <c r="H121" s="0" t="n">
        <f aca="false">D121*G121</f>
        <v>26188500</v>
      </c>
    </row>
    <row r="122" customFormat="false" ht="15" hidden="false" customHeight="false" outlineLevel="0" collapsed="false">
      <c r="A122" s="0" t="s">
        <v>73</v>
      </c>
      <c r="B122" s="1" t="s">
        <v>20</v>
      </c>
      <c r="C122" s="1" t="s">
        <v>68</v>
      </c>
      <c r="D122" s="0" t="n">
        <v>3830</v>
      </c>
      <c r="E122" s="0" t="n">
        <v>10810</v>
      </c>
      <c r="F122" s="0" t="n">
        <f aca="false">D122*E122</f>
        <v>41402300</v>
      </c>
      <c r="G122" s="0" t="n">
        <f aca="false">INDEX(마스터!$E:$E,MATCH(C122,마스터!$A:$A,0))</f>
        <v>4880</v>
      </c>
      <c r="H122" s="0" t="n">
        <f aca="false">D122*G122</f>
        <v>18690400</v>
      </c>
    </row>
    <row r="123" customFormat="false" ht="15" hidden="false" customHeight="false" outlineLevel="0" collapsed="false">
      <c r="A123" s="0" t="s">
        <v>73</v>
      </c>
      <c r="B123" s="1" t="s">
        <v>20</v>
      </c>
      <c r="C123" s="1" t="s">
        <v>40</v>
      </c>
      <c r="D123" s="0" t="n">
        <v>2800</v>
      </c>
      <c r="E123" s="0" t="n">
        <v>10080</v>
      </c>
      <c r="F123" s="0" t="n">
        <f aca="false">D123*E123</f>
        <v>28224000</v>
      </c>
      <c r="G123" s="0" t="n">
        <f aca="false">INDEX(마스터!$E:$E,MATCH(C123,마스터!$A:$A,0))</f>
        <v>4740</v>
      </c>
      <c r="H123" s="0" t="n">
        <f aca="false">D123*G123</f>
        <v>13272000</v>
      </c>
    </row>
    <row r="124" customFormat="false" ht="15" hidden="false" customHeight="false" outlineLevel="0" collapsed="false">
      <c r="A124" s="0" t="s">
        <v>73</v>
      </c>
      <c r="B124" s="1" t="s">
        <v>21</v>
      </c>
      <c r="C124" s="1" t="s">
        <v>37</v>
      </c>
      <c r="D124" s="0" t="n">
        <v>5920</v>
      </c>
      <c r="E124" s="0" t="n">
        <v>10490</v>
      </c>
      <c r="F124" s="0" t="n">
        <f aca="false">D124*E124</f>
        <v>62100800</v>
      </c>
      <c r="G124" s="0" t="n">
        <f aca="false">INDEX(마스터!$E:$E,MATCH(C124,마스터!$A:$A,0))</f>
        <v>4900</v>
      </c>
      <c r="H124" s="0" t="n">
        <f aca="false">D124*G124</f>
        <v>29008000</v>
      </c>
    </row>
    <row r="125" customFormat="false" ht="15" hidden="false" customHeight="false" outlineLevel="0" collapsed="false">
      <c r="A125" s="0" t="s">
        <v>73</v>
      </c>
      <c r="B125" s="1" t="s">
        <v>21</v>
      </c>
      <c r="C125" s="1" t="s">
        <v>54</v>
      </c>
      <c r="D125" s="0" t="n">
        <v>4530</v>
      </c>
      <c r="E125" s="0" t="n">
        <v>13280</v>
      </c>
      <c r="F125" s="0" t="n">
        <f aca="false">D125*E125</f>
        <v>60158400</v>
      </c>
      <c r="G125" s="0" t="n">
        <f aca="false">INDEX(마스터!$E:$E,MATCH(C125,마스터!$A:$A,0))</f>
        <v>6790</v>
      </c>
      <c r="H125" s="0" t="n">
        <f aca="false">D125*G125</f>
        <v>30758700</v>
      </c>
    </row>
    <row r="126" customFormat="false" ht="15" hidden="false" customHeight="false" outlineLevel="0" collapsed="false">
      <c r="A126" s="0" t="s">
        <v>73</v>
      </c>
      <c r="B126" s="1" t="s">
        <v>21</v>
      </c>
      <c r="C126" s="1" t="s">
        <v>36</v>
      </c>
      <c r="D126" s="0" t="n">
        <v>3680</v>
      </c>
      <c r="E126" s="0" t="n">
        <v>10140</v>
      </c>
      <c r="F126" s="0" t="n">
        <f aca="false">D126*E126</f>
        <v>37315200</v>
      </c>
      <c r="G126" s="0" t="n">
        <f aca="false">INDEX(마스터!$E:$E,MATCH(C126,마스터!$A:$A,0))</f>
        <v>4540</v>
      </c>
      <c r="H126" s="0" t="n">
        <f aca="false">D126*G126</f>
        <v>16707200</v>
      </c>
    </row>
    <row r="127" customFormat="false" ht="15" hidden="false" customHeight="false" outlineLevel="0" collapsed="false">
      <c r="A127" s="0" t="s">
        <v>73</v>
      </c>
      <c r="B127" s="1" t="s">
        <v>22</v>
      </c>
      <c r="C127" s="1" t="s">
        <v>65</v>
      </c>
      <c r="D127" s="0" t="n">
        <v>4930</v>
      </c>
      <c r="E127" s="0" t="n">
        <v>14390</v>
      </c>
      <c r="F127" s="0" t="n">
        <f aca="false">D127*E127</f>
        <v>70942700</v>
      </c>
      <c r="G127" s="0" t="n">
        <f aca="false">INDEX(마스터!$E:$E,MATCH(C127,마스터!$A:$A,0))</f>
        <v>6670</v>
      </c>
      <c r="H127" s="0" t="n">
        <f aca="false">D127*G127</f>
        <v>32883100</v>
      </c>
    </row>
    <row r="128" customFormat="false" ht="15" hidden="false" customHeight="false" outlineLevel="0" collapsed="false">
      <c r="A128" s="0" t="s">
        <v>73</v>
      </c>
      <c r="B128" s="1" t="s">
        <v>22</v>
      </c>
      <c r="C128" s="1" t="s">
        <v>48</v>
      </c>
      <c r="D128" s="0" t="n">
        <v>6800</v>
      </c>
      <c r="E128" s="0" t="n">
        <v>12980</v>
      </c>
      <c r="F128" s="0" t="n">
        <f aca="false">D128*E128</f>
        <v>88264000</v>
      </c>
      <c r="G128" s="0" t="n">
        <f aca="false">INDEX(마스터!$E:$E,MATCH(C128,마스터!$A:$A,0))</f>
        <v>6440</v>
      </c>
      <c r="H128" s="0" t="n">
        <f aca="false">D128*G128</f>
        <v>43792000</v>
      </c>
    </row>
    <row r="129" customFormat="false" ht="15" hidden="false" customHeight="false" outlineLevel="0" collapsed="false">
      <c r="A129" s="0" t="s">
        <v>73</v>
      </c>
      <c r="B129" s="1" t="s">
        <v>23</v>
      </c>
      <c r="C129" s="1" t="s">
        <v>42</v>
      </c>
      <c r="D129" s="0" t="n">
        <v>5310</v>
      </c>
      <c r="E129" s="0" t="n">
        <v>13240</v>
      </c>
      <c r="F129" s="0" t="n">
        <f aca="false">D129*E129</f>
        <v>70304400</v>
      </c>
      <c r="G129" s="0" t="n">
        <f aca="false">INDEX(마스터!$E:$E,MATCH(C129,마스터!$A:$A,0))</f>
        <v>6730</v>
      </c>
      <c r="H129" s="0" t="n">
        <f aca="false">D129*G129</f>
        <v>35736300</v>
      </c>
    </row>
    <row r="130" customFormat="false" ht="15" hidden="false" customHeight="false" outlineLevel="0" collapsed="false">
      <c r="A130" s="0" t="s">
        <v>73</v>
      </c>
      <c r="B130" s="1" t="s">
        <v>23</v>
      </c>
      <c r="C130" s="1" t="s">
        <v>55</v>
      </c>
      <c r="D130" s="0" t="n">
        <v>5090</v>
      </c>
      <c r="E130" s="0" t="n">
        <v>12890</v>
      </c>
      <c r="F130" s="0" t="n">
        <f aca="false">D130*E130</f>
        <v>65610100</v>
      </c>
      <c r="G130" s="0" t="n">
        <f aca="false">INDEX(마스터!$E:$E,MATCH(C130,마스터!$A:$A,0))</f>
        <v>6040</v>
      </c>
      <c r="H130" s="0" t="n">
        <f aca="false">D130*G130</f>
        <v>30743600</v>
      </c>
    </row>
    <row r="131" customFormat="false" ht="15" hidden="false" customHeight="false" outlineLevel="0" collapsed="false">
      <c r="A131" s="0" t="s">
        <v>73</v>
      </c>
      <c r="B131" s="1" t="s">
        <v>25</v>
      </c>
      <c r="C131" s="1" t="s">
        <v>77</v>
      </c>
      <c r="D131" s="0" t="n">
        <v>5110</v>
      </c>
      <c r="E131" s="0" t="n">
        <v>11890</v>
      </c>
      <c r="F131" s="0" t="n">
        <f aca="false">D131*E131</f>
        <v>60757900</v>
      </c>
      <c r="G131" s="0" t="n">
        <f aca="false">INDEX(마스터!$E:$E,MATCH(C131,마스터!$A:$A,0))</f>
        <v>5380</v>
      </c>
      <c r="H131" s="0" t="n">
        <f aca="false">D131*G131</f>
        <v>27491800</v>
      </c>
    </row>
    <row r="132" customFormat="false" ht="15" hidden="false" customHeight="false" outlineLevel="0" collapsed="false">
      <c r="A132" s="0" t="s">
        <v>73</v>
      </c>
      <c r="B132" s="1" t="s">
        <v>25</v>
      </c>
      <c r="C132" s="1" t="s">
        <v>57</v>
      </c>
      <c r="D132" s="0" t="n">
        <v>3420</v>
      </c>
      <c r="E132" s="0" t="n">
        <v>10490</v>
      </c>
      <c r="F132" s="0" t="n">
        <f aca="false">D132*E132</f>
        <v>35875800</v>
      </c>
      <c r="G132" s="0" t="n">
        <f aca="false">INDEX(마스터!$E:$E,MATCH(C132,마스터!$A:$A,0))</f>
        <v>4870</v>
      </c>
      <c r="H132" s="0" t="n">
        <f aca="false">D132*G132</f>
        <v>16655400</v>
      </c>
    </row>
    <row r="133" customFormat="false" ht="15" hidden="false" customHeight="false" outlineLevel="0" collapsed="false">
      <c r="A133" s="0" t="s">
        <v>73</v>
      </c>
      <c r="B133" s="1" t="s">
        <v>24</v>
      </c>
      <c r="C133" s="1" t="s">
        <v>41</v>
      </c>
      <c r="D133" s="0" t="n">
        <v>4680</v>
      </c>
      <c r="E133" s="0" t="n">
        <v>11900</v>
      </c>
      <c r="F133" s="0" t="n">
        <f aca="false">D133*E133</f>
        <v>55692000</v>
      </c>
      <c r="G133" s="0" t="n">
        <f aca="false">INDEX(마스터!$E:$E,MATCH(C133,마스터!$A:$A,0))</f>
        <v>5480</v>
      </c>
      <c r="H133" s="0" t="n">
        <f aca="false">D133*G133</f>
        <v>25646400</v>
      </c>
    </row>
    <row r="134" customFormat="false" ht="15" hidden="false" customHeight="false" outlineLevel="0" collapsed="false">
      <c r="A134" s="0" t="s">
        <v>73</v>
      </c>
      <c r="B134" s="1" t="s">
        <v>24</v>
      </c>
      <c r="C134" s="1" t="s">
        <v>59</v>
      </c>
      <c r="D134" s="0" t="n">
        <v>3850</v>
      </c>
      <c r="E134" s="0" t="n">
        <v>13990</v>
      </c>
      <c r="F134" s="0" t="n">
        <f aca="false">D134*E134</f>
        <v>53861500</v>
      </c>
      <c r="G134" s="0" t="n">
        <f aca="false">INDEX(마스터!$E:$E,MATCH(C134,마스터!$A:$A,0))</f>
        <v>6520</v>
      </c>
      <c r="H134" s="0" t="n">
        <f aca="false">D134*G134</f>
        <v>25102000</v>
      </c>
    </row>
    <row r="135" customFormat="false" ht="15" hidden="false" customHeight="false" outlineLevel="0" collapsed="false">
      <c r="A135" s="0" t="s">
        <v>78</v>
      </c>
      <c r="B135" s="1" t="s">
        <v>14</v>
      </c>
      <c r="C135" s="1" t="s">
        <v>79</v>
      </c>
      <c r="D135" s="0" t="n">
        <v>3410</v>
      </c>
      <c r="E135" s="0" t="n">
        <v>10970</v>
      </c>
      <c r="F135" s="0" t="n">
        <f aca="false">D135*E135</f>
        <v>37407700</v>
      </c>
      <c r="G135" s="0" t="n">
        <f aca="false">INDEX(마스터!$E:$E,MATCH(C135,마스터!$A:$A,0))</f>
        <v>5990</v>
      </c>
      <c r="H135" s="0" t="n">
        <f aca="false">D135*G135</f>
        <v>20425900</v>
      </c>
    </row>
    <row r="136" customFormat="false" ht="15" hidden="false" customHeight="false" outlineLevel="0" collapsed="false">
      <c r="A136" s="0" t="s">
        <v>78</v>
      </c>
      <c r="B136" s="1" t="s">
        <v>14</v>
      </c>
      <c r="C136" s="1" t="s">
        <v>38</v>
      </c>
      <c r="D136" s="0" t="n">
        <v>14960</v>
      </c>
      <c r="E136" s="0" t="n">
        <v>11290</v>
      </c>
      <c r="F136" s="0" t="n">
        <f aca="false">D136*E136</f>
        <v>168898400</v>
      </c>
      <c r="G136" s="0" t="n">
        <f aca="false">INDEX(마스터!$E:$E,MATCH(C136,마스터!$A:$A,0))</f>
        <v>5670</v>
      </c>
      <c r="H136" s="0" t="n">
        <f aca="false">D136*G136</f>
        <v>84823200</v>
      </c>
    </row>
    <row r="137" customFormat="false" ht="15" hidden="false" customHeight="false" outlineLevel="0" collapsed="false">
      <c r="A137" s="0" t="s">
        <v>78</v>
      </c>
      <c r="B137" s="1" t="s">
        <v>14</v>
      </c>
      <c r="C137" s="1" t="s">
        <v>48</v>
      </c>
      <c r="D137" s="0" t="n">
        <v>6930</v>
      </c>
      <c r="E137" s="0" t="n">
        <v>11940</v>
      </c>
      <c r="F137" s="0" t="n">
        <f aca="false">D137*E137</f>
        <v>82744200</v>
      </c>
      <c r="G137" s="0" t="n">
        <f aca="false">INDEX(마스터!$E:$E,MATCH(C137,마스터!$A:$A,0))</f>
        <v>6440</v>
      </c>
      <c r="H137" s="0" t="n">
        <f aca="false">D137*G137</f>
        <v>44629200</v>
      </c>
    </row>
    <row r="138" customFormat="false" ht="15" hidden="false" customHeight="false" outlineLevel="0" collapsed="false">
      <c r="A138" s="0" t="s">
        <v>78</v>
      </c>
      <c r="B138" s="1" t="s">
        <v>14</v>
      </c>
      <c r="C138" s="1" t="s">
        <v>72</v>
      </c>
      <c r="D138" s="0" t="n">
        <v>4580</v>
      </c>
      <c r="E138" s="0" t="n">
        <v>11290</v>
      </c>
      <c r="F138" s="0" t="n">
        <f aca="false">D138*E138</f>
        <v>51708200</v>
      </c>
      <c r="G138" s="0" t="n">
        <f aca="false">INDEX(마스터!$E:$E,MATCH(C138,마스터!$A:$A,0))</f>
        <v>5920</v>
      </c>
      <c r="H138" s="0" t="n">
        <f aca="false">D138*G138</f>
        <v>27113600</v>
      </c>
    </row>
    <row r="139" customFormat="false" ht="15" hidden="false" customHeight="false" outlineLevel="0" collapsed="false">
      <c r="A139" s="0" t="s">
        <v>78</v>
      </c>
      <c r="B139" s="1" t="s">
        <v>14</v>
      </c>
      <c r="C139" s="1" t="s">
        <v>36</v>
      </c>
      <c r="D139" s="0" t="n">
        <v>4830</v>
      </c>
      <c r="E139" s="0" t="n">
        <v>9360</v>
      </c>
      <c r="F139" s="0" t="n">
        <f aca="false">D139*E139</f>
        <v>45208800</v>
      </c>
      <c r="G139" s="0" t="n">
        <f aca="false">INDEX(마스터!$E:$E,MATCH(C139,마스터!$A:$A,0))</f>
        <v>4540</v>
      </c>
      <c r="H139" s="0" t="n">
        <f aca="false">D139*G139</f>
        <v>21928200</v>
      </c>
    </row>
    <row r="140" customFormat="false" ht="15" hidden="false" customHeight="false" outlineLevel="0" collapsed="false">
      <c r="A140" s="0" t="s">
        <v>78</v>
      </c>
      <c r="B140" s="1" t="s">
        <v>14</v>
      </c>
      <c r="C140" s="1" t="s">
        <v>80</v>
      </c>
      <c r="D140" s="0" t="n">
        <v>4560</v>
      </c>
      <c r="E140" s="0" t="n">
        <v>9030</v>
      </c>
      <c r="F140" s="0" t="n">
        <f aca="false">D140*E140</f>
        <v>41176800</v>
      </c>
      <c r="G140" s="0" t="n">
        <f aca="false">INDEX(마스터!$E:$E,MATCH(C140,마스터!$A:$A,0))</f>
        <v>4690</v>
      </c>
      <c r="H140" s="0" t="n">
        <f aca="false">D140*G140</f>
        <v>21386400</v>
      </c>
    </row>
    <row r="141" customFormat="false" ht="15" hidden="false" customHeight="false" outlineLevel="0" collapsed="false">
      <c r="A141" s="0" t="s">
        <v>78</v>
      </c>
      <c r="B141" s="1" t="s">
        <v>15</v>
      </c>
      <c r="C141" s="1" t="s">
        <v>38</v>
      </c>
      <c r="D141" s="0" t="n">
        <v>12860</v>
      </c>
      <c r="E141" s="0" t="n">
        <v>11360</v>
      </c>
      <c r="F141" s="0" t="n">
        <f aca="false">D141*E141</f>
        <v>146089600</v>
      </c>
      <c r="G141" s="0" t="n">
        <f aca="false">INDEX(마스터!$E:$E,MATCH(C141,마스터!$A:$A,0))</f>
        <v>5670</v>
      </c>
      <c r="H141" s="0" t="n">
        <f aca="false">D141*G141</f>
        <v>72916200</v>
      </c>
    </row>
    <row r="142" customFormat="false" ht="15" hidden="false" customHeight="false" outlineLevel="0" collapsed="false">
      <c r="A142" s="0" t="s">
        <v>78</v>
      </c>
      <c r="B142" s="1" t="s">
        <v>15</v>
      </c>
      <c r="C142" s="1" t="s">
        <v>34</v>
      </c>
      <c r="D142" s="0" t="n">
        <v>4300</v>
      </c>
      <c r="E142" s="0" t="n">
        <v>12010</v>
      </c>
      <c r="F142" s="0" t="n">
        <f aca="false">D142*E142</f>
        <v>51643000</v>
      </c>
      <c r="G142" s="0" t="n">
        <f aca="false">INDEX(마스터!$E:$E,MATCH(C142,마스터!$A:$A,0))</f>
        <v>6630</v>
      </c>
      <c r="H142" s="0" t="n">
        <f aca="false">D142*G142</f>
        <v>28509000</v>
      </c>
    </row>
    <row r="143" customFormat="false" ht="15" hidden="false" customHeight="false" outlineLevel="0" collapsed="false">
      <c r="A143" s="0" t="s">
        <v>78</v>
      </c>
      <c r="B143" s="1" t="s">
        <v>15</v>
      </c>
      <c r="C143" s="1" t="s">
        <v>55</v>
      </c>
      <c r="D143" s="0" t="n">
        <v>6170</v>
      </c>
      <c r="E143" s="0" t="n">
        <v>12010</v>
      </c>
      <c r="F143" s="0" t="n">
        <f aca="false">D143*E143</f>
        <v>74101700</v>
      </c>
      <c r="G143" s="0" t="n">
        <f aca="false">INDEX(마스터!$E:$E,MATCH(C143,마스터!$A:$A,0))</f>
        <v>6040</v>
      </c>
      <c r="H143" s="0" t="n">
        <f aca="false">D143*G143</f>
        <v>37266800</v>
      </c>
    </row>
    <row r="144" customFormat="false" ht="15" hidden="false" customHeight="false" outlineLevel="0" collapsed="false">
      <c r="A144" s="0" t="s">
        <v>78</v>
      </c>
      <c r="B144" s="1" t="s">
        <v>15</v>
      </c>
      <c r="C144" s="1" t="s">
        <v>81</v>
      </c>
      <c r="D144" s="0" t="n">
        <v>4670</v>
      </c>
      <c r="E144" s="0" t="n">
        <v>11680</v>
      </c>
      <c r="F144" s="0" t="n">
        <f aca="false">D144*E144</f>
        <v>54545600</v>
      </c>
      <c r="G144" s="0" t="n">
        <f aca="false">INDEX(마스터!$E:$E,MATCH(C144,마스터!$A:$A,0))</f>
        <v>6220</v>
      </c>
      <c r="H144" s="0" t="n">
        <f aca="false">D144*G144</f>
        <v>29047400</v>
      </c>
    </row>
    <row r="145" customFormat="false" ht="15" hidden="false" customHeight="false" outlineLevel="0" collapsed="false">
      <c r="A145" s="0" t="s">
        <v>78</v>
      </c>
      <c r="B145" s="1" t="s">
        <v>15</v>
      </c>
      <c r="C145" s="1" t="s">
        <v>52</v>
      </c>
      <c r="D145" s="0" t="n">
        <v>3530</v>
      </c>
      <c r="E145" s="0" t="n">
        <v>10380</v>
      </c>
      <c r="F145" s="0" t="n">
        <f aca="false">D145*E145</f>
        <v>36641400</v>
      </c>
      <c r="G145" s="0" t="n">
        <f aca="false">INDEX(마스터!$E:$E,MATCH(C145,마스터!$A:$A,0))</f>
        <v>5110</v>
      </c>
      <c r="H145" s="0" t="n">
        <f aca="false">D145*G145</f>
        <v>18038300</v>
      </c>
    </row>
    <row r="146" customFormat="false" ht="15" hidden="false" customHeight="false" outlineLevel="0" collapsed="false">
      <c r="A146" s="0" t="s">
        <v>78</v>
      </c>
      <c r="B146" s="1" t="s">
        <v>15</v>
      </c>
      <c r="C146" s="1" t="s">
        <v>80</v>
      </c>
      <c r="D146" s="0" t="n">
        <v>4480</v>
      </c>
      <c r="E146" s="0" t="n">
        <v>9090</v>
      </c>
      <c r="F146" s="0" t="n">
        <f aca="false">D146*E146</f>
        <v>40723200</v>
      </c>
      <c r="G146" s="0" t="n">
        <f aca="false">INDEX(마스터!$E:$E,MATCH(C146,마스터!$A:$A,0))</f>
        <v>4690</v>
      </c>
      <c r="H146" s="0" t="n">
        <f aca="false">D146*G146</f>
        <v>21011200</v>
      </c>
    </row>
    <row r="147" customFormat="false" ht="15" hidden="false" customHeight="false" outlineLevel="0" collapsed="false">
      <c r="A147" s="0" t="s">
        <v>78</v>
      </c>
      <c r="B147" s="1" t="s">
        <v>16</v>
      </c>
      <c r="C147" s="1" t="s">
        <v>45</v>
      </c>
      <c r="D147" s="0" t="n">
        <v>5010</v>
      </c>
      <c r="E147" s="0" t="n">
        <v>13270</v>
      </c>
      <c r="F147" s="0" t="n">
        <f aca="false">D147*E147</f>
        <v>66482700</v>
      </c>
      <c r="G147" s="0" t="n">
        <f aca="false">INDEX(마스터!$E:$E,MATCH(C147,마스터!$A:$A,0))</f>
        <v>6110</v>
      </c>
      <c r="H147" s="0" t="n">
        <f aca="false">D147*G147</f>
        <v>30611100</v>
      </c>
    </row>
    <row r="148" customFormat="false" ht="15" hidden="false" customHeight="false" outlineLevel="0" collapsed="false">
      <c r="A148" s="0" t="s">
        <v>78</v>
      </c>
      <c r="B148" s="1" t="s">
        <v>16</v>
      </c>
      <c r="C148" s="1" t="s">
        <v>38</v>
      </c>
      <c r="D148" s="0" t="n">
        <v>6710</v>
      </c>
      <c r="E148" s="0" t="n">
        <v>12560</v>
      </c>
      <c r="F148" s="0" t="n">
        <f aca="false">D148*E148</f>
        <v>84277600</v>
      </c>
      <c r="G148" s="0" t="n">
        <f aca="false">INDEX(마스터!$E:$E,MATCH(C148,마스터!$A:$A,0))</f>
        <v>5670</v>
      </c>
      <c r="H148" s="0" t="n">
        <f aca="false">D148*G148</f>
        <v>38045700</v>
      </c>
    </row>
    <row r="149" customFormat="false" ht="15" hidden="false" customHeight="false" outlineLevel="0" collapsed="false">
      <c r="A149" s="0" t="s">
        <v>78</v>
      </c>
      <c r="B149" s="1" t="s">
        <v>16</v>
      </c>
      <c r="C149" s="1" t="s">
        <v>54</v>
      </c>
      <c r="D149" s="0" t="n">
        <v>3530</v>
      </c>
      <c r="E149" s="0" t="n">
        <v>13630</v>
      </c>
      <c r="F149" s="0" t="n">
        <f aca="false">D149*E149</f>
        <v>48113900</v>
      </c>
      <c r="G149" s="0" t="n">
        <f aca="false">INDEX(마스터!$E:$E,MATCH(C149,마스터!$A:$A,0))</f>
        <v>6790</v>
      </c>
      <c r="H149" s="0" t="n">
        <f aca="false">D149*G149</f>
        <v>23968700</v>
      </c>
    </row>
    <row r="150" customFormat="false" ht="15" hidden="false" customHeight="false" outlineLevel="0" collapsed="false">
      <c r="A150" s="0" t="s">
        <v>78</v>
      </c>
      <c r="B150" s="1" t="s">
        <v>16</v>
      </c>
      <c r="C150" s="1" t="s">
        <v>42</v>
      </c>
      <c r="D150" s="0" t="n">
        <v>5040</v>
      </c>
      <c r="E150" s="0" t="n">
        <v>13630</v>
      </c>
      <c r="F150" s="0" t="n">
        <f aca="false">D150*E150</f>
        <v>68695200</v>
      </c>
      <c r="G150" s="0" t="n">
        <f aca="false">INDEX(마스터!$E:$E,MATCH(C150,마스터!$A:$A,0))</f>
        <v>6730</v>
      </c>
      <c r="H150" s="0" t="n">
        <f aca="false">D150*G150</f>
        <v>33919200</v>
      </c>
    </row>
    <row r="151" customFormat="false" ht="15" hidden="false" customHeight="false" outlineLevel="0" collapsed="false">
      <c r="A151" s="0" t="s">
        <v>78</v>
      </c>
      <c r="B151" s="1" t="s">
        <v>16</v>
      </c>
      <c r="C151" s="1" t="s">
        <v>55</v>
      </c>
      <c r="D151" s="0" t="n">
        <v>5620</v>
      </c>
      <c r="E151" s="0" t="n">
        <v>13270</v>
      </c>
      <c r="F151" s="0" t="n">
        <f aca="false">D151*E151</f>
        <v>74577400</v>
      </c>
      <c r="G151" s="0" t="n">
        <f aca="false">INDEX(마스터!$E:$E,MATCH(C151,마스터!$A:$A,0))</f>
        <v>6040</v>
      </c>
      <c r="H151" s="0" t="n">
        <f aca="false">D151*G151</f>
        <v>33944800</v>
      </c>
    </row>
    <row r="152" customFormat="false" ht="15" hidden="false" customHeight="false" outlineLevel="0" collapsed="false">
      <c r="A152" s="0" t="s">
        <v>78</v>
      </c>
      <c r="B152" s="1" t="s">
        <v>17</v>
      </c>
      <c r="C152" s="1" t="s">
        <v>38</v>
      </c>
      <c r="D152" s="0" t="n">
        <v>8900</v>
      </c>
      <c r="E152" s="0" t="n">
        <v>11280</v>
      </c>
      <c r="F152" s="0" t="n">
        <f aca="false">D152*E152</f>
        <v>100392000</v>
      </c>
      <c r="G152" s="0" t="n">
        <f aca="false">INDEX(마스터!$E:$E,MATCH(C152,마스터!$A:$A,0))</f>
        <v>5670</v>
      </c>
      <c r="H152" s="0" t="n">
        <f aca="false">D152*G152</f>
        <v>50463000</v>
      </c>
    </row>
    <row r="153" customFormat="false" ht="15" hidden="false" customHeight="false" outlineLevel="0" collapsed="false">
      <c r="A153" s="0" t="s">
        <v>78</v>
      </c>
      <c r="B153" s="1" t="s">
        <v>17</v>
      </c>
      <c r="C153" s="1" t="s">
        <v>41</v>
      </c>
      <c r="D153" s="0" t="n">
        <v>3730</v>
      </c>
      <c r="E153" s="0" t="n">
        <v>10960</v>
      </c>
      <c r="F153" s="0" t="n">
        <f aca="false">D153*E153</f>
        <v>40880800</v>
      </c>
      <c r="G153" s="0" t="n">
        <f aca="false">INDEX(마스터!$E:$E,MATCH(C153,마스터!$A:$A,0))</f>
        <v>5480</v>
      </c>
      <c r="H153" s="0" t="n">
        <f aca="false">D153*G153</f>
        <v>20440400</v>
      </c>
    </row>
    <row r="154" customFormat="false" ht="15" hidden="false" customHeight="false" outlineLevel="0" collapsed="false">
      <c r="A154" s="0" t="s">
        <v>78</v>
      </c>
      <c r="B154" s="1" t="s">
        <v>17</v>
      </c>
      <c r="C154" s="1" t="s">
        <v>63</v>
      </c>
      <c r="D154" s="0" t="n">
        <v>3300</v>
      </c>
      <c r="E154" s="0" t="n">
        <v>10640</v>
      </c>
      <c r="F154" s="0" t="n">
        <f aca="false">D154*E154</f>
        <v>35112000</v>
      </c>
      <c r="G154" s="0" t="n">
        <f aca="false">INDEX(마스터!$E:$E,MATCH(C154,마스터!$A:$A,0))</f>
        <v>5290</v>
      </c>
      <c r="H154" s="0" t="n">
        <f aca="false">D154*G154</f>
        <v>17457000</v>
      </c>
    </row>
    <row r="155" customFormat="false" ht="15" hidden="false" customHeight="false" outlineLevel="0" collapsed="false">
      <c r="A155" s="0" t="s">
        <v>78</v>
      </c>
      <c r="B155" s="1" t="s">
        <v>17</v>
      </c>
      <c r="C155" s="1" t="s">
        <v>60</v>
      </c>
      <c r="D155" s="0" t="n">
        <v>3920</v>
      </c>
      <c r="E155" s="0" t="n">
        <v>12570</v>
      </c>
      <c r="F155" s="0" t="n">
        <f aca="false">D155*E155</f>
        <v>49274400</v>
      </c>
      <c r="G155" s="0" t="n">
        <f aca="false">INDEX(마스터!$E:$E,MATCH(C155,마스터!$A:$A,0))</f>
        <v>6980</v>
      </c>
      <c r="H155" s="0" t="n">
        <f aca="false">D155*G155</f>
        <v>27361600</v>
      </c>
    </row>
    <row r="156" customFormat="false" ht="15" hidden="false" customHeight="false" outlineLevel="0" collapsed="false">
      <c r="A156" s="0" t="s">
        <v>78</v>
      </c>
      <c r="B156" s="1" t="s">
        <v>17</v>
      </c>
      <c r="C156" s="1" t="s">
        <v>48</v>
      </c>
      <c r="D156" s="0" t="n">
        <v>3480</v>
      </c>
      <c r="E156" s="0" t="n">
        <v>11930</v>
      </c>
      <c r="F156" s="0" t="n">
        <f aca="false">D156*E156</f>
        <v>41516400</v>
      </c>
      <c r="G156" s="0" t="n">
        <f aca="false">INDEX(마스터!$E:$E,MATCH(C156,마스터!$A:$A,0))</f>
        <v>6440</v>
      </c>
      <c r="H156" s="0" t="n">
        <f aca="false">D156*G156</f>
        <v>22411200</v>
      </c>
    </row>
    <row r="157" customFormat="false" ht="15" hidden="false" customHeight="false" outlineLevel="0" collapsed="false">
      <c r="A157" s="0" t="s">
        <v>78</v>
      </c>
      <c r="B157" s="1" t="s">
        <v>18</v>
      </c>
      <c r="C157" s="1" t="s">
        <v>41</v>
      </c>
      <c r="D157" s="0" t="n">
        <v>3440</v>
      </c>
      <c r="E157" s="0" t="n">
        <v>12150</v>
      </c>
      <c r="F157" s="0" t="n">
        <f aca="false">D157*E157</f>
        <v>41796000</v>
      </c>
      <c r="G157" s="0" t="n">
        <f aca="false">INDEX(마스터!$E:$E,MATCH(C157,마스터!$A:$A,0))</f>
        <v>5480</v>
      </c>
      <c r="H157" s="0" t="n">
        <f aca="false">D157*G157</f>
        <v>18851200</v>
      </c>
    </row>
    <row r="158" customFormat="false" ht="15" hidden="false" customHeight="false" outlineLevel="0" collapsed="false">
      <c r="A158" s="0" t="s">
        <v>78</v>
      </c>
      <c r="B158" s="1" t="s">
        <v>18</v>
      </c>
      <c r="C158" s="1" t="s">
        <v>51</v>
      </c>
      <c r="D158" s="0" t="n">
        <v>4220</v>
      </c>
      <c r="E158" s="0" t="n">
        <v>14650</v>
      </c>
      <c r="F158" s="0" t="n">
        <f aca="false">D158*E158</f>
        <v>61823000</v>
      </c>
      <c r="G158" s="0" t="n">
        <f aca="false">INDEX(마스터!$E:$E,MATCH(C158,마스터!$A:$A,0))</f>
        <v>7480</v>
      </c>
      <c r="H158" s="0" t="n">
        <f aca="false">D158*G158</f>
        <v>31565600</v>
      </c>
    </row>
    <row r="159" customFormat="false" ht="15" hidden="false" customHeight="false" outlineLevel="0" collapsed="false">
      <c r="A159" s="0" t="s">
        <v>78</v>
      </c>
      <c r="B159" s="1" t="s">
        <v>18</v>
      </c>
      <c r="C159" s="1" t="s">
        <v>72</v>
      </c>
      <c r="D159" s="0" t="n">
        <v>4460</v>
      </c>
      <c r="E159" s="0" t="n">
        <v>12510</v>
      </c>
      <c r="F159" s="0" t="n">
        <f aca="false">D159*E159</f>
        <v>55794600</v>
      </c>
      <c r="G159" s="0" t="n">
        <f aca="false">INDEX(마스터!$E:$E,MATCH(C159,마스터!$A:$A,0))</f>
        <v>5920</v>
      </c>
      <c r="H159" s="0" t="n">
        <f aca="false">D159*G159</f>
        <v>26403200</v>
      </c>
    </row>
    <row r="160" customFormat="false" ht="15" hidden="false" customHeight="false" outlineLevel="0" collapsed="false">
      <c r="A160" s="0" t="s">
        <v>78</v>
      </c>
      <c r="B160" s="1" t="s">
        <v>18</v>
      </c>
      <c r="C160" s="1" t="s">
        <v>66</v>
      </c>
      <c r="D160" s="0" t="n">
        <v>3910</v>
      </c>
      <c r="E160" s="0" t="n">
        <v>13220</v>
      </c>
      <c r="F160" s="0" t="n">
        <f aca="false">D160*E160</f>
        <v>51690200</v>
      </c>
      <c r="G160" s="0" t="n">
        <f aca="false">INDEX(마스터!$E:$E,MATCH(C160,마스터!$A:$A,0))</f>
        <v>6360</v>
      </c>
      <c r="H160" s="0" t="n">
        <f aca="false">D160*G160</f>
        <v>24867600</v>
      </c>
    </row>
    <row r="161" customFormat="false" ht="15" hidden="false" customHeight="false" outlineLevel="0" collapsed="false">
      <c r="A161" s="0" t="s">
        <v>78</v>
      </c>
      <c r="B161" s="1" t="s">
        <v>19</v>
      </c>
      <c r="C161" s="1" t="s">
        <v>41</v>
      </c>
      <c r="D161" s="0" t="n">
        <v>2900</v>
      </c>
      <c r="E161" s="0" t="n">
        <v>11000</v>
      </c>
      <c r="F161" s="0" t="n">
        <f aca="false">D161*E161</f>
        <v>31900000</v>
      </c>
      <c r="G161" s="0" t="n">
        <f aca="false">INDEX(마스터!$E:$E,MATCH(C161,마스터!$A:$A,0))</f>
        <v>5480</v>
      </c>
      <c r="H161" s="0" t="n">
        <f aca="false">D161*G161</f>
        <v>15892000</v>
      </c>
    </row>
    <row r="162" customFormat="false" ht="15" hidden="false" customHeight="false" outlineLevel="0" collapsed="false">
      <c r="A162" s="0" t="s">
        <v>78</v>
      </c>
      <c r="B162" s="1" t="s">
        <v>19</v>
      </c>
      <c r="C162" s="1" t="s">
        <v>77</v>
      </c>
      <c r="D162" s="0" t="n">
        <v>3260</v>
      </c>
      <c r="E162" s="0" t="n">
        <v>11000</v>
      </c>
      <c r="F162" s="0" t="n">
        <f aca="false">D162*E162</f>
        <v>35860000</v>
      </c>
      <c r="G162" s="0" t="n">
        <f aca="false">INDEX(마스터!$E:$E,MATCH(C162,마스터!$A:$A,0))</f>
        <v>5380</v>
      </c>
      <c r="H162" s="0" t="n">
        <f aca="false">D162*G162</f>
        <v>17538800</v>
      </c>
    </row>
    <row r="163" customFormat="false" ht="15" hidden="false" customHeight="false" outlineLevel="0" collapsed="false">
      <c r="A163" s="0" t="s">
        <v>78</v>
      </c>
      <c r="B163" s="1" t="s">
        <v>19</v>
      </c>
      <c r="C163" s="1" t="s">
        <v>50</v>
      </c>
      <c r="D163" s="0" t="n">
        <v>1460</v>
      </c>
      <c r="E163" s="0" t="n">
        <v>12950</v>
      </c>
      <c r="F163" s="0" t="n">
        <f aca="false">D163*E163</f>
        <v>18907000</v>
      </c>
      <c r="G163" s="0" t="n">
        <f aca="false">INDEX(마스터!$E:$E,MATCH(C163,마스터!$A:$A,0))</f>
        <v>6770</v>
      </c>
      <c r="H163" s="0" t="n">
        <f aca="false">D163*G163</f>
        <v>9884200</v>
      </c>
    </row>
    <row r="164" customFormat="false" ht="15" hidden="false" customHeight="false" outlineLevel="0" collapsed="false">
      <c r="A164" s="0" t="s">
        <v>78</v>
      </c>
      <c r="B164" s="1" t="s">
        <v>19</v>
      </c>
      <c r="C164" s="1" t="s">
        <v>34</v>
      </c>
      <c r="D164" s="0" t="n">
        <v>3330</v>
      </c>
      <c r="E164" s="0" t="n">
        <v>11980</v>
      </c>
      <c r="F164" s="0" t="n">
        <f aca="false">D164*E164</f>
        <v>39893400</v>
      </c>
      <c r="G164" s="0" t="n">
        <f aca="false">INDEX(마스터!$E:$E,MATCH(C164,마스터!$A:$A,0))</f>
        <v>6630</v>
      </c>
      <c r="H164" s="0" t="n">
        <f aca="false">D164*G164</f>
        <v>22077900</v>
      </c>
    </row>
    <row r="165" customFormat="false" ht="15" hidden="false" customHeight="false" outlineLevel="0" collapsed="false">
      <c r="A165" s="0" t="s">
        <v>78</v>
      </c>
      <c r="B165" s="1" t="s">
        <v>19</v>
      </c>
      <c r="C165" s="1" t="s">
        <v>42</v>
      </c>
      <c r="D165" s="0" t="n">
        <v>2650</v>
      </c>
      <c r="E165" s="0" t="n">
        <v>12300</v>
      </c>
      <c r="F165" s="0" t="n">
        <f aca="false">D165*E165</f>
        <v>32595000</v>
      </c>
      <c r="G165" s="0" t="n">
        <f aca="false">INDEX(마스터!$E:$E,MATCH(C165,마스터!$A:$A,0))</f>
        <v>6730</v>
      </c>
      <c r="H165" s="0" t="n">
        <f aca="false">D165*G165</f>
        <v>17834500</v>
      </c>
    </row>
    <row r="166" customFormat="false" ht="15" hidden="false" customHeight="false" outlineLevel="0" collapsed="false">
      <c r="A166" s="0" t="s">
        <v>78</v>
      </c>
      <c r="B166" s="1" t="s">
        <v>20</v>
      </c>
      <c r="C166" s="1" t="s">
        <v>82</v>
      </c>
      <c r="D166" s="0" t="n">
        <v>2430</v>
      </c>
      <c r="E166" s="0" t="n">
        <v>11510</v>
      </c>
      <c r="F166" s="0" t="n">
        <f aca="false">D166*E166</f>
        <v>27969300</v>
      </c>
      <c r="G166" s="0" t="n">
        <f aca="false">INDEX(마스터!$E:$E,MATCH(C166,마스터!$A:$A,0))</f>
        <v>5660</v>
      </c>
      <c r="H166" s="0" t="n">
        <f aca="false">D166*G166</f>
        <v>13753800</v>
      </c>
    </row>
    <row r="167" customFormat="false" ht="15" hidden="false" customHeight="false" outlineLevel="0" collapsed="false">
      <c r="A167" s="0" t="s">
        <v>78</v>
      </c>
      <c r="B167" s="1" t="s">
        <v>20</v>
      </c>
      <c r="C167" s="1" t="s">
        <v>34</v>
      </c>
      <c r="D167" s="0" t="n">
        <v>3690</v>
      </c>
      <c r="E167" s="0" t="n">
        <v>13310</v>
      </c>
      <c r="F167" s="0" t="n">
        <f aca="false">D167*E167</f>
        <v>49113900</v>
      </c>
      <c r="G167" s="0" t="n">
        <f aca="false">INDEX(마스터!$E:$E,MATCH(C167,마스터!$A:$A,0))</f>
        <v>6630</v>
      </c>
      <c r="H167" s="0" t="n">
        <f aca="false">D167*G167</f>
        <v>24464700</v>
      </c>
    </row>
    <row r="168" customFormat="false" ht="15" hidden="false" customHeight="false" outlineLevel="0" collapsed="false">
      <c r="A168" s="0" t="s">
        <v>78</v>
      </c>
      <c r="B168" s="1" t="s">
        <v>20</v>
      </c>
      <c r="C168" s="1" t="s">
        <v>55</v>
      </c>
      <c r="D168" s="0" t="n">
        <v>2380</v>
      </c>
      <c r="E168" s="0" t="n">
        <v>13310</v>
      </c>
      <c r="F168" s="0" t="n">
        <f aca="false">D168*E168</f>
        <v>31677800</v>
      </c>
      <c r="G168" s="0" t="n">
        <f aca="false">INDEX(마스터!$E:$E,MATCH(C168,마스터!$A:$A,0))</f>
        <v>6040</v>
      </c>
      <c r="H168" s="0" t="n">
        <f aca="false">D168*G168</f>
        <v>14375200</v>
      </c>
    </row>
    <row r="169" customFormat="false" ht="15" hidden="false" customHeight="false" outlineLevel="0" collapsed="false">
      <c r="A169" s="0" t="s">
        <v>78</v>
      </c>
      <c r="B169" s="1" t="s">
        <v>20</v>
      </c>
      <c r="C169" s="1" t="s">
        <v>83</v>
      </c>
      <c r="D169" s="0" t="n">
        <v>1090</v>
      </c>
      <c r="E169" s="0" t="n">
        <v>10070</v>
      </c>
      <c r="F169" s="0" t="n">
        <f aca="false">D169*E169</f>
        <v>10976300</v>
      </c>
      <c r="G169" s="0" t="n">
        <f aca="false">INDEX(마스터!$E:$E,MATCH(C169,마스터!$A:$A,0))</f>
        <v>4460</v>
      </c>
      <c r="H169" s="0" t="n">
        <f aca="false">D169*G169</f>
        <v>4861400</v>
      </c>
    </row>
    <row r="170" customFormat="false" ht="15" hidden="false" customHeight="false" outlineLevel="0" collapsed="false">
      <c r="A170" s="0" t="s">
        <v>78</v>
      </c>
      <c r="B170" s="1" t="s">
        <v>21</v>
      </c>
      <c r="C170" s="1" t="s">
        <v>45</v>
      </c>
      <c r="D170" s="0" t="n">
        <v>4130</v>
      </c>
      <c r="E170" s="0" t="n">
        <v>12940</v>
      </c>
      <c r="F170" s="0" t="n">
        <f aca="false">D170*E170</f>
        <v>53442200</v>
      </c>
      <c r="G170" s="0" t="n">
        <f aca="false">INDEX(마스터!$E:$E,MATCH(C170,마스터!$A:$A,0))</f>
        <v>6110</v>
      </c>
      <c r="H170" s="0" t="n">
        <f aca="false">D170*G170</f>
        <v>25234300</v>
      </c>
    </row>
    <row r="171" customFormat="false" ht="15" hidden="false" customHeight="false" outlineLevel="0" collapsed="false">
      <c r="A171" s="0" t="s">
        <v>78</v>
      </c>
      <c r="B171" s="1" t="s">
        <v>21</v>
      </c>
      <c r="C171" s="1" t="s">
        <v>36</v>
      </c>
      <c r="D171" s="0" t="n">
        <v>2130</v>
      </c>
      <c r="E171" s="0" t="n">
        <v>10140</v>
      </c>
      <c r="F171" s="0" t="n">
        <f aca="false">D171*E171</f>
        <v>21598200</v>
      </c>
      <c r="G171" s="0" t="n">
        <f aca="false">INDEX(마스터!$E:$E,MATCH(C171,마스터!$A:$A,0))</f>
        <v>4540</v>
      </c>
      <c r="H171" s="0" t="n">
        <f aca="false">D171*G171</f>
        <v>9670200</v>
      </c>
    </row>
    <row r="172" customFormat="false" ht="15" hidden="false" customHeight="false" outlineLevel="0" collapsed="false">
      <c r="A172" s="0" t="s">
        <v>78</v>
      </c>
      <c r="B172" s="1" t="s">
        <v>21</v>
      </c>
      <c r="C172" s="1" t="s">
        <v>67</v>
      </c>
      <c r="D172" s="0" t="n">
        <v>2980</v>
      </c>
      <c r="E172" s="0" t="n">
        <v>9790</v>
      </c>
      <c r="F172" s="0" t="n">
        <f aca="false">D172*E172</f>
        <v>29174200</v>
      </c>
      <c r="G172" s="0" t="n">
        <f aca="false">INDEX(마스터!$E:$E,MATCH(C172,마스터!$A:$A,0))</f>
        <v>4360</v>
      </c>
      <c r="H172" s="0" t="n">
        <f aca="false">D172*G172</f>
        <v>12992800</v>
      </c>
    </row>
    <row r="173" customFormat="false" ht="15" hidden="false" customHeight="false" outlineLevel="0" collapsed="false">
      <c r="A173" s="0" t="s">
        <v>78</v>
      </c>
      <c r="B173" s="1" t="s">
        <v>22</v>
      </c>
      <c r="C173" s="1" t="s">
        <v>82</v>
      </c>
      <c r="D173" s="0" t="n">
        <v>3080</v>
      </c>
      <c r="E173" s="0" t="n">
        <v>11240</v>
      </c>
      <c r="F173" s="0" t="n">
        <f aca="false">D173*E173</f>
        <v>34619200</v>
      </c>
      <c r="G173" s="0" t="n">
        <f aca="false">INDEX(마스터!$E:$E,MATCH(C173,마스터!$A:$A,0))</f>
        <v>5660</v>
      </c>
      <c r="H173" s="0" t="n">
        <f aca="false">D173*G173</f>
        <v>17432800</v>
      </c>
    </row>
    <row r="174" customFormat="false" ht="15" hidden="false" customHeight="false" outlineLevel="0" collapsed="false">
      <c r="A174" s="0" t="s">
        <v>78</v>
      </c>
      <c r="B174" s="1" t="s">
        <v>22</v>
      </c>
      <c r="C174" s="1" t="s">
        <v>77</v>
      </c>
      <c r="D174" s="0" t="n">
        <v>4580</v>
      </c>
      <c r="E174" s="0" t="n">
        <v>11950</v>
      </c>
      <c r="F174" s="0" t="n">
        <f aca="false">D174*E174</f>
        <v>54731000</v>
      </c>
      <c r="G174" s="0" t="n">
        <f aca="false">INDEX(마스터!$E:$E,MATCH(C174,마스터!$A:$A,0))</f>
        <v>5380</v>
      </c>
      <c r="H174" s="0" t="n">
        <f aca="false">D174*G174</f>
        <v>24640400</v>
      </c>
    </row>
    <row r="175" customFormat="false" ht="15" hidden="false" customHeight="false" outlineLevel="0" collapsed="false">
      <c r="A175" s="0" t="s">
        <v>78</v>
      </c>
      <c r="B175" s="1" t="s">
        <v>23</v>
      </c>
      <c r="C175" s="1" t="s">
        <v>42</v>
      </c>
      <c r="D175" s="0" t="n">
        <v>3590</v>
      </c>
      <c r="E175" s="0" t="n">
        <v>13250</v>
      </c>
      <c r="F175" s="0" t="n">
        <f aca="false">D175*E175</f>
        <v>47567500</v>
      </c>
      <c r="G175" s="0" t="n">
        <f aca="false">INDEX(마스터!$E:$E,MATCH(C175,마스터!$A:$A,0))</f>
        <v>6730</v>
      </c>
      <c r="H175" s="0" t="n">
        <f aca="false">D175*G175</f>
        <v>24160700</v>
      </c>
    </row>
    <row r="176" customFormat="false" ht="15" hidden="false" customHeight="false" outlineLevel="0" collapsed="false">
      <c r="A176" s="0" t="s">
        <v>78</v>
      </c>
      <c r="B176" s="1" t="s">
        <v>23</v>
      </c>
      <c r="C176" s="1" t="s">
        <v>66</v>
      </c>
      <c r="D176" s="0" t="n">
        <v>3200</v>
      </c>
      <c r="E176" s="0" t="n">
        <v>12900</v>
      </c>
      <c r="F176" s="0" t="n">
        <f aca="false">D176*E176</f>
        <v>41280000</v>
      </c>
      <c r="G176" s="0" t="n">
        <f aca="false">INDEX(마스터!$E:$E,MATCH(C176,마스터!$A:$A,0))</f>
        <v>6360</v>
      </c>
      <c r="H176" s="0" t="n">
        <f aca="false">D176*G176</f>
        <v>20352000</v>
      </c>
    </row>
    <row r="177" customFormat="false" ht="15" hidden="false" customHeight="false" outlineLevel="0" collapsed="false">
      <c r="A177" s="0" t="s">
        <v>78</v>
      </c>
      <c r="B177" s="1" t="s">
        <v>25</v>
      </c>
      <c r="C177" s="1" t="s">
        <v>37</v>
      </c>
      <c r="D177" s="0" t="n">
        <v>2540</v>
      </c>
      <c r="E177" s="0" t="n">
        <v>10510</v>
      </c>
      <c r="F177" s="0" t="n">
        <f aca="false">D177*E177</f>
        <v>26695400</v>
      </c>
      <c r="G177" s="0" t="n">
        <f aca="false">INDEX(마스터!$E:$E,MATCH(C177,마스터!$A:$A,0))</f>
        <v>4900</v>
      </c>
      <c r="H177" s="0" t="n">
        <f aca="false">D177*G177</f>
        <v>12446000</v>
      </c>
    </row>
    <row r="178" customFormat="false" ht="15" hidden="false" customHeight="false" outlineLevel="0" collapsed="false">
      <c r="A178" s="0" t="s">
        <v>78</v>
      </c>
      <c r="B178" s="1" t="s">
        <v>25</v>
      </c>
      <c r="C178" s="1" t="s">
        <v>61</v>
      </c>
      <c r="D178" s="0" t="n">
        <v>3040</v>
      </c>
      <c r="E178" s="0" t="n">
        <v>10860</v>
      </c>
      <c r="F178" s="0" t="n">
        <f aca="false">D178*E178</f>
        <v>33014400</v>
      </c>
      <c r="G178" s="0" t="n">
        <f aca="false">INDEX(마스터!$E:$E,MATCH(C178,마스터!$A:$A,0))</f>
        <v>5390</v>
      </c>
      <c r="H178" s="0" t="n">
        <f aca="false">D178*G178</f>
        <v>16385600</v>
      </c>
    </row>
    <row r="179" customFormat="false" ht="15" hidden="false" customHeight="false" outlineLevel="0" collapsed="false">
      <c r="A179" s="0" t="s">
        <v>78</v>
      </c>
      <c r="B179" s="1" t="s">
        <v>24</v>
      </c>
      <c r="C179" s="1" t="s">
        <v>61</v>
      </c>
      <c r="D179" s="0" t="n">
        <v>2340</v>
      </c>
      <c r="E179" s="0" t="n">
        <v>10880</v>
      </c>
      <c r="F179" s="0" t="n">
        <f aca="false">D179*E179</f>
        <v>25459200</v>
      </c>
      <c r="G179" s="0" t="n">
        <f aca="false">INDEX(마스터!$E:$E,MATCH(C179,마스터!$A:$A,0))</f>
        <v>5390</v>
      </c>
      <c r="H179" s="0" t="n">
        <f aca="false">D179*G179</f>
        <v>12612600</v>
      </c>
    </row>
    <row r="180" customFormat="false" ht="15" hidden="false" customHeight="false" outlineLevel="0" collapsed="false">
      <c r="A180" s="0" t="s">
        <v>78</v>
      </c>
      <c r="B180" s="1" t="s">
        <v>24</v>
      </c>
      <c r="C180" s="1" t="s">
        <v>55</v>
      </c>
      <c r="D180" s="0" t="n">
        <v>3240</v>
      </c>
      <c r="E180" s="0" t="n">
        <v>12980</v>
      </c>
      <c r="F180" s="0" t="n">
        <f aca="false">D180*E180</f>
        <v>42055200</v>
      </c>
      <c r="G180" s="0" t="n">
        <f aca="false">INDEX(마스터!$E:$E,MATCH(C180,마스터!$A:$A,0))</f>
        <v>6040</v>
      </c>
      <c r="H180" s="0" t="n">
        <f aca="false">D180*G180</f>
        <v>19569600</v>
      </c>
    </row>
    <row r="181" customFormat="false" ht="15" hidden="false" customHeight="false" outlineLevel="0" collapsed="false">
      <c r="A181" s="0" t="s">
        <v>84</v>
      </c>
      <c r="B181" s="1" t="s">
        <v>14</v>
      </c>
      <c r="C181" s="1" t="s">
        <v>64</v>
      </c>
      <c r="D181" s="0" t="n">
        <v>3790</v>
      </c>
      <c r="E181" s="0" t="n">
        <v>11610</v>
      </c>
      <c r="F181" s="0" t="n">
        <f aca="false">D181*E181</f>
        <v>44001900</v>
      </c>
      <c r="G181" s="0" t="n">
        <f aca="false">INDEX(마스터!$E:$E,MATCH(C181,마스터!$A:$A,0))</f>
        <v>5890</v>
      </c>
      <c r="H181" s="0" t="n">
        <f aca="false">D181*G181</f>
        <v>22323100</v>
      </c>
    </row>
    <row r="182" customFormat="false" ht="15" hidden="false" customHeight="false" outlineLevel="0" collapsed="false">
      <c r="A182" s="0" t="s">
        <v>84</v>
      </c>
      <c r="B182" s="1" t="s">
        <v>14</v>
      </c>
      <c r="C182" s="1" t="s">
        <v>34</v>
      </c>
      <c r="D182" s="0" t="n">
        <v>6460</v>
      </c>
      <c r="E182" s="0" t="n">
        <v>11930</v>
      </c>
      <c r="F182" s="0" t="n">
        <f aca="false">D182*E182</f>
        <v>77067800</v>
      </c>
      <c r="G182" s="0" t="n">
        <f aca="false">INDEX(마스터!$E:$E,MATCH(C182,마스터!$A:$A,0))</f>
        <v>6630</v>
      </c>
      <c r="H182" s="0" t="n">
        <f aca="false">D182*G182</f>
        <v>42829800</v>
      </c>
    </row>
    <row r="183" customFormat="false" ht="15" hidden="false" customHeight="false" outlineLevel="0" collapsed="false">
      <c r="A183" s="0" t="s">
        <v>84</v>
      </c>
      <c r="B183" s="1" t="s">
        <v>14</v>
      </c>
      <c r="C183" s="1" t="s">
        <v>55</v>
      </c>
      <c r="D183" s="0" t="n">
        <v>5250</v>
      </c>
      <c r="E183" s="0" t="n">
        <v>11930</v>
      </c>
      <c r="F183" s="0" t="n">
        <f aca="false">D183*E183</f>
        <v>62632500</v>
      </c>
      <c r="G183" s="0" t="n">
        <f aca="false">INDEX(마스터!$E:$E,MATCH(C183,마스터!$A:$A,0))</f>
        <v>6040</v>
      </c>
      <c r="H183" s="0" t="n">
        <f aca="false">D183*G183</f>
        <v>31710000</v>
      </c>
    </row>
    <row r="184" customFormat="false" ht="15" hidden="false" customHeight="false" outlineLevel="0" collapsed="false">
      <c r="A184" s="0" t="s">
        <v>84</v>
      </c>
      <c r="B184" s="1" t="s">
        <v>14</v>
      </c>
      <c r="C184" s="1" t="s">
        <v>51</v>
      </c>
      <c r="D184" s="0" t="n">
        <v>5290</v>
      </c>
      <c r="E184" s="0" t="n">
        <v>13220</v>
      </c>
      <c r="F184" s="0" t="n">
        <f aca="false">D184*E184</f>
        <v>69933800</v>
      </c>
      <c r="G184" s="0" t="n">
        <f aca="false">INDEX(마스터!$E:$E,MATCH(C184,마스터!$A:$A,0))</f>
        <v>7480</v>
      </c>
      <c r="H184" s="0" t="n">
        <f aca="false">D184*G184</f>
        <v>39569200</v>
      </c>
    </row>
    <row r="185" customFormat="false" ht="15" hidden="false" customHeight="false" outlineLevel="0" collapsed="false">
      <c r="A185" s="0" t="s">
        <v>84</v>
      </c>
      <c r="B185" s="1" t="s">
        <v>14</v>
      </c>
      <c r="C185" s="1" t="s">
        <v>85</v>
      </c>
      <c r="D185" s="0" t="n">
        <v>5340</v>
      </c>
      <c r="E185" s="0" t="n">
        <v>8700</v>
      </c>
      <c r="F185" s="0" t="n">
        <f aca="false">D185*E185</f>
        <v>46458000</v>
      </c>
      <c r="G185" s="0" t="n">
        <f aca="false">INDEX(마스터!$E:$E,MATCH(C185,마스터!$A:$A,0))</f>
        <v>4380</v>
      </c>
      <c r="H185" s="0" t="n">
        <f aca="false">D185*G185</f>
        <v>23389200</v>
      </c>
    </row>
    <row r="186" customFormat="false" ht="15" hidden="false" customHeight="false" outlineLevel="0" collapsed="false">
      <c r="A186" s="0" t="s">
        <v>84</v>
      </c>
      <c r="B186" s="1" t="s">
        <v>15</v>
      </c>
      <c r="C186" s="1" t="s">
        <v>32</v>
      </c>
      <c r="D186" s="0" t="n">
        <v>5560</v>
      </c>
      <c r="E186" s="0" t="n">
        <v>11060</v>
      </c>
      <c r="F186" s="0" t="n">
        <f aca="false">D186*E186</f>
        <v>61493600</v>
      </c>
      <c r="G186" s="0" t="n">
        <f aca="false">INDEX(마스터!$E:$E,MATCH(C186,마스터!$A:$A,0))</f>
        <v>5790</v>
      </c>
      <c r="H186" s="0" t="n">
        <f aca="false">D186*G186</f>
        <v>32192400</v>
      </c>
    </row>
    <row r="187" customFormat="false" ht="15" hidden="false" customHeight="false" outlineLevel="0" collapsed="false">
      <c r="A187" s="0" t="s">
        <v>84</v>
      </c>
      <c r="B187" s="1" t="s">
        <v>15</v>
      </c>
      <c r="C187" s="1" t="s">
        <v>64</v>
      </c>
      <c r="D187" s="0" t="n">
        <v>4140</v>
      </c>
      <c r="E187" s="0" t="n">
        <v>11710</v>
      </c>
      <c r="F187" s="0" t="n">
        <f aca="false">D187*E187</f>
        <v>48479400</v>
      </c>
      <c r="G187" s="0" t="n">
        <f aca="false">INDEX(마스터!$E:$E,MATCH(C187,마스터!$A:$A,0))</f>
        <v>5890</v>
      </c>
      <c r="H187" s="0" t="n">
        <f aca="false">D187*G187</f>
        <v>24384600</v>
      </c>
    </row>
    <row r="188" customFormat="false" ht="15" hidden="false" customHeight="false" outlineLevel="0" collapsed="false">
      <c r="A188" s="0" t="s">
        <v>84</v>
      </c>
      <c r="B188" s="1" t="s">
        <v>15</v>
      </c>
      <c r="C188" s="1" t="s">
        <v>56</v>
      </c>
      <c r="D188" s="0" t="n">
        <v>5640</v>
      </c>
      <c r="E188" s="0" t="n">
        <v>10090</v>
      </c>
      <c r="F188" s="0" t="n">
        <f aca="false">D188*E188</f>
        <v>56907600</v>
      </c>
      <c r="G188" s="0" t="n">
        <f aca="false">INDEX(마스터!$E:$E,MATCH(C188,마스터!$A:$A,0))</f>
        <v>5470</v>
      </c>
      <c r="H188" s="0" t="n">
        <f aca="false">D188*G188</f>
        <v>30850800</v>
      </c>
    </row>
    <row r="189" customFormat="false" ht="15" hidden="false" customHeight="false" outlineLevel="0" collapsed="false">
      <c r="A189" s="0" t="s">
        <v>84</v>
      </c>
      <c r="B189" s="1" t="s">
        <v>15</v>
      </c>
      <c r="C189" s="1" t="s">
        <v>81</v>
      </c>
      <c r="D189" s="0" t="n">
        <v>4130</v>
      </c>
      <c r="E189" s="0" t="n">
        <v>11710</v>
      </c>
      <c r="F189" s="0" t="n">
        <f aca="false">D189*E189</f>
        <v>48362300</v>
      </c>
      <c r="G189" s="0" t="n">
        <f aca="false">INDEX(마스터!$E:$E,MATCH(C189,마스터!$A:$A,0))</f>
        <v>6220</v>
      </c>
      <c r="H189" s="0" t="n">
        <f aca="false">D189*G189</f>
        <v>25688600</v>
      </c>
    </row>
    <row r="190" customFormat="false" ht="15" hidden="false" customHeight="false" outlineLevel="0" collapsed="false">
      <c r="A190" s="0" t="s">
        <v>84</v>
      </c>
      <c r="B190" s="1" t="s">
        <v>15</v>
      </c>
      <c r="C190" s="1" t="s">
        <v>66</v>
      </c>
      <c r="D190" s="0" t="n">
        <v>5900</v>
      </c>
      <c r="E190" s="0" t="n">
        <v>12040</v>
      </c>
      <c r="F190" s="0" t="n">
        <f aca="false">D190*E190</f>
        <v>71036000</v>
      </c>
      <c r="G190" s="0" t="n">
        <f aca="false">INDEX(마스터!$E:$E,MATCH(C190,마스터!$A:$A,0))</f>
        <v>6360</v>
      </c>
      <c r="H190" s="0" t="n">
        <f aca="false">D190*G190</f>
        <v>37524000</v>
      </c>
    </row>
    <row r="191" customFormat="false" ht="15" hidden="false" customHeight="false" outlineLevel="0" collapsed="false">
      <c r="A191" s="0" t="s">
        <v>84</v>
      </c>
      <c r="B191" s="1" t="s">
        <v>16</v>
      </c>
      <c r="C191" s="1" t="s">
        <v>42</v>
      </c>
      <c r="D191" s="0" t="n">
        <v>5760</v>
      </c>
      <c r="E191" s="0" t="n">
        <v>13600</v>
      </c>
      <c r="F191" s="0" t="n">
        <f aca="false">D191*E191</f>
        <v>78336000</v>
      </c>
      <c r="G191" s="0" t="n">
        <f aca="false">INDEX(마스터!$E:$E,MATCH(C191,마스터!$A:$A,0))</f>
        <v>6730</v>
      </c>
      <c r="H191" s="0" t="n">
        <f aca="false">D191*G191</f>
        <v>38764800</v>
      </c>
    </row>
    <row r="192" customFormat="false" ht="15" hidden="false" customHeight="false" outlineLevel="0" collapsed="false">
      <c r="A192" s="0" t="s">
        <v>84</v>
      </c>
      <c r="B192" s="1" t="s">
        <v>16</v>
      </c>
      <c r="C192" s="1" t="s">
        <v>55</v>
      </c>
      <c r="D192" s="0" t="n">
        <v>4480</v>
      </c>
      <c r="E192" s="0" t="n">
        <v>13240</v>
      </c>
      <c r="F192" s="0" t="n">
        <f aca="false">D192*E192</f>
        <v>59315200</v>
      </c>
      <c r="G192" s="0" t="n">
        <f aca="false">INDEX(마스터!$E:$E,MATCH(C192,마스터!$A:$A,0))</f>
        <v>6040</v>
      </c>
      <c r="H192" s="0" t="n">
        <f aca="false">D192*G192</f>
        <v>27059200</v>
      </c>
    </row>
    <row r="193" customFormat="false" ht="15" hidden="false" customHeight="false" outlineLevel="0" collapsed="false">
      <c r="A193" s="0" t="s">
        <v>84</v>
      </c>
      <c r="B193" s="1" t="s">
        <v>16</v>
      </c>
      <c r="C193" s="1" t="s">
        <v>51</v>
      </c>
      <c r="D193" s="0" t="n">
        <v>5160</v>
      </c>
      <c r="E193" s="0" t="n">
        <v>14680</v>
      </c>
      <c r="F193" s="0" t="n">
        <f aca="false">D193*E193</f>
        <v>75748800</v>
      </c>
      <c r="G193" s="0" t="n">
        <f aca="false">INDEX(마스터!$E:$E,MATCH(C193,마스터!$A:$A,0))</f>
        <v>7480</v>
      </c>
      <c r="H193" s="0" t="n">
        <f aca="false">D193*G193</f>
        <v>38596800</v>
      </c>
    </row>
    <row r="194" customFormat="false" ht="15" hidden="false" customHeight="false" outlineLevel="0" collapsed="false">
      <c r="A194" s="0" t="s">
        <v>84</v>
      </c>
      <c r="B194" s="1" t="s">
        <v>16</v>
      </c>
      <c r="C194" s="1" t="s">
        <v>68</v>
      </c>
      <c r="D194" s="0" t="n">
        <v>5360</v>
      </c>
      <c r="E194" s="0" t="n">
        <v>10740</v>
      </c>
      <c r="F194" s="0" t="n">
        <f aca="false">D194*E194</f>
        <v>57566400</v>
      </c>
      <c r="G194" s="0" t="n">
        <f aca="false">INDEX(마스터!$E:$E,MATCH(C194,마스터!$A:$A,0))</f>
        <v>4880</v>
      </c>
      <c r="H194" s="0" t="n">
        <f aca="false">D194*G194</f>
        <v>26156800</v>
      </c>
    </row>
    <row r="195" customFormat="false" ht="15" hidden="false" customHeight="false" outlineLevel="0" collapsed="false">
      <c r="A195" s="0" t="s">
        <v>84</v>
      </c>
      <c r="B195" s="1" t="s">
        <v>17</v>
      </c>
      <c r="C195" s="1" t="s">
        <v>46</v>
      </c>
      <c r="D195" s="0" t="n">
        <v>3450</v>
      </c>
      <c r="E195" s="0" t="n">
        <v>13210</v>
      </c>
      <c r="F195" s="0" t="n">
        <f aca="false">D195*E195</f>
        <v>45574500</v>
      </c>
      <c r="G195" s="0" t="n">
        <f aca="false">INDEX(마스터!$E:$E,MATCH(C195,마스터!$A:$A,0))</f>
        <v>6910</v>
      </c>
      <c r="H195" s="0" t="n">
        <f aca="false">D195*G195</f>
        <v>23839500</v>
      </c>
    </row>
    <row r="196" customFormat="false" ht="15" hidden="false" customHeight="false" outlineLevel="0" collapsed="false">
      <c r="A196" s="0" t="s">
        <v>84</v>
      </c>
      <c r="B196" s="1" t="s">
        <v>17</v>
      </c>
      <c r="C196" s="1" t="s">
        <v>65</v>
      </c>
      <c r="D196" s="0" t="n">
        <v>2770</v>
      </c>
      <c r="E196" s="0" t="n">
        <v>13210</v>
      </c>
      <c r="F196" s="0" t="n">
        <f aca="false">D196*E196</f>
        <v>36591700</v>
      </c>
      <c r="G196" s="0" t="n">
        <f aca="false">INDEX(마스터!$E:$E,MATCH(C196,마스터!$A:$A,0))</f>
        <v>6670</v>
      </c>
      <c r="H196" s="0" t="n">
        <f aca="false">D196*G196</f>
        <v>18475900</v>
      </c>
    </row>
    <row r="197" customFormat="false" ht="15" hidden="false" customHeight="false" outlineLevel="0" collapsed="false">
      <c r="A197" s="0" t="s">
        <v>84</v>
      </c>
      <c r="B197" s="1" t="s">
        <v>17</v>
      </c>
      <c r="C197" s="1" t="s">
        <v>56</v>
      </c>
      <c r="D197" s="0" t="n">
        <v>2340</v>
      </c>
      <c r="E197" s="0" t="n">
        <v>9990</v>
      </c>
      <c r="F197" s="0" t="n">
        <f aca="false">D197*E197</f>
        <v>23376600</v>
      </c>
      <c r="G197" s="0" t="n">
        <f aca="false">INDEX(마스터!$E:$E,MATCH(C197,마스터!$A:$A,0))</f>
        <v>5470</v>
      </c>
      <c r="H197" s="0" t="n">
        <f aca="false">D197*G197</f>
        <v>12799800</v>
      </c>
    </row>
    <row r="198" customFormat="false" ht="15" hidden="false" customHeight="false" outlineLevel="0" collapsed="false">
      <c r="A198" s="0" t="s">
        <v>84</v>
      </c>
      <c r="B198" s="1" t="s">
        <v>17</v>
      </c>
      <c r="C198" s="1" t="s">
        <v>71</v>
      </c>
      <c r="D198" s="0" t="n">
        <v>3200</v>
      </c>
      <c r="E198" s="0" t="n">
        <v>8380</v>
      </c>
      <c r="F198" s="0" t="n">
        <f aca="false">D198*E198</f>
        <v>26816000</v>
      </c>
      <c r="G198" s="0" t="n">
        <f aca="false">INDEX(마스터!$E:$E,MATCH(C198,마스터!$A:$A,0))</f>
        <v>4330</v>
      </c>
      <c r="H198" s="0" t="n">
        <f aca="false">D198*G198</f>
        <v>13856000</v>
      </c>
    </row>
    <row r="199" customFormat="false" ht="15" hidden="false" customHeight="false" outlineLevel="0" collapsed="false">
      <c r="A199" s="0" t="s">
        <v>84</v>
      </c>
      <c r="B199" s="1" t="s">
        <v>17</v>
      </c>
      <c r="C199" s="1" t="s">
        <v>47</v>
      </c>
      <c r="D199" s="0" t="n">
        <v>4380</v>
      </c>
      <c r="E199" s="0" t="n">
        <v>8380</v>
      </c>
      <c r="F199" s="0" t="n">
        <f aca="false">D199*E199</f>
        <v>36704400</v>
      </c>
      <c r="G199" s="0" t="n">
        <f aca="false">INDEX(마스터!$E:$E,MATCH(C199,마스터!$A:$A,0))</f>
        <v>4170</v>
      </c>
      <c r="H199" s="0" t="n">
        <f aca="false">D199*G199</f>
        <v>18264600</v>
      </c>
    </row>
    <row r="200" customFormat="false" ht="15" hidden="false" customHeight="false" outlineLevel="0" collapsed="false">
      <c r="A200" s="0" t="s">
        <v>84</v>
      </c>
      <c r="B200" s="1" t="s">
        <v>18</v>
      </c>
      <c r="C200" s="1" t="s">
        <v>46</v>
      </c>
      <c r="D200" s="0" t="n">
        <v>3970</v>
      </c>
      <c r="E200" s="0" t="n">
        <v>14600</v>
      </c>
      <c r="F200" s="0" t="n">
        <f aca="false">D200*E200</f>
        <v>57962000</v>
      </c>
      <c r="G200" s="0" t="n">
        <f aca="false">INDEX(마스터!$E:$E,MATCH(C200,마스터!$A:$A,0))</f>
        <v>6910</v>
      </c>
      <c r="H200" s="0" t="n">
        <f aca="false">D200*G200</f>
        <v>27432700</v>
      </c>
    </row>
    <row r="201" customFormat="false" ht="15" hidden="false" customHeight="false" outlineLevel="0" collapsed="false">
      <c r="A201" s="0" t="s">
        <v>84</v>
      </c>
      <c r="B201" s="1" t="s">
        <v>18</v>
      </c>
      <c r="C201" s="1" t="s">
        <v>51</v>
      </c>
      <c r="D201" s="0" t="n">
        <v>3230</v>
      </c>
      <c r="E201" s="0" t="n">
        <v>14600</v>
      </c>
      <c r="F201" s="0" t="n">
        <f aca="false">D201*E201</f>
        <v>47158000</v>
      </c>
      <c r="G201" s="0" t="n">
        <f aca="false">INDEX(마스터!$E:$E,MATCH(C201,마스터!$A:$A,0))</f>
        <v>7480</v>
      </c>
      <c r="H201" s="0" t="n">
        <f aca="false">D201*G201</f>
        <v>24160400</v>
      </c>
    </row>
    <row r="202" customFormat="false" ht="15" hidden="false" customHeight="false" outlineLevel="0" collapsed="false">
      <c r="A202" s="0" t="s">
        <v>84</v>
      </c>
      <c r="B202" s="1" t="s">
        <v>18</v>
      </c>
      <c r="C202" s="1" t="s">
        <v>66</v>
      </c>
      <c r="D202" s="0" t="n">
        <v>3720</v>
      </c>
      <c r="E202" s="0" t="n">
        <v>13170</v>
      </c>
      <c r="F202" s="0" t="n">
        <f aca="false">D202*E202</f>
        <v>48992400</v>
      </c>
      <c r="G202" s="0" t="n">
        <f aca="false">INDEX(마스터!$E:$E,MATCH(C202,마스터!$A:$A,0))</f>
        <v>6360</v>
      </c>
      <c r="H202" s="0" t="n">
        <f aca="false">D202*G202</f>
        <v>23659200</v>
      </c>
    </row>
    <row r="203" customFormat="false" ht="15" hidden="false" customHeight="false" outlineLevel="0" collapsed="false">
      <c r="A203" s="0" t="s">
        <v>84</v>
      </c>
      <c r="B203" s="1" t="s">
        <v>18</v>
      </c>
      <c r="C203" s="1" t="s">
        <v>47</v>
      </c>
      <c r="D203" s="0" t="n">
        <v>3230</v>
      </c>
      <c r="E203" s="0" t="n">
        <v>9260</v>
      </c>
      <c r="F203" s="0" t="n">
        <f aca="false">D203*E203</f>
        <v>29909800</v>
      </c>
      <c r="G203" s="0" t="n">
        <f aca="false">INDEX(마스터!$E:$E,MATCH(C203,마스터!$A:$A,0))</f>
        <v>4170</v>
      </c>
      <c r="H203" s="0" t="n">
        <f aca="false">D203*G203</f>
        <v>13469100</v>
      </c>
    </row>
    <row r="204" customFormat="false" ht="15" hidden="false" customHeight="false" outlineLevel="0" collapsed="false">
      <c r="A204" s="0" t="s">
        <v>84</v>
      </c>
      <c r="B204" s="1" t="s">
        <v>19</v>
      </c>
      <c r="C204" s="1" t="s">
        <v>79</v>
      </c>
      <c r="D204" s="0" t="n">
        <v>1730</v>
      </c>
      <c r="E204" s="0" t="n">
        <v>11020</v>
      </c>
      <c r="F204" s="0" t="n">
        <f aca="false">D204*E204</f>
        <v>19064600</v>
      </c>
      <c r="G204" s="0" t="n">
        <f aca="false">INDEX(마스터!$E:$E,MATCH(C204,마스터!$A:$A,0))</f>
        <v>5990</v>
      </c>
      <c r="H204" s="0" t="n">
        <f aca="false">D204*G204</f>
        <v>10362700</v>
      </c>
    </row>
    <row r="205" customFormat="false" ht="15" hidden="false" customHeight="false" outlineLevel="0" collapsed="false">
      <c r="A205" s="0" t="s">
        <v>84</v>
      </c>
      <c r="B205" s="1" t="s">
        <v>19</v>
      </c>
      <c r="C205" s="1" t="s">
        <v>45</v>
      </c>
      <c r="D205" s="0" t="n">
        <v>2650</v>
      </c>
      <c r="E205" s="0" t="n">
        <v>11990</v>
      </c>
      <c r="F205" s="0" t="n">
        <f aca="false">D205*E205</f>
        <v>31773500</v>
      </c>
      <c r="G205" s="0" t="n">
        <f aca="false">INDEX(마스터!$E:$E,MATCH(C205,마스터!$A:$A,0))</f>
        <v>6110</v>
      </c>
      <c r="H205" s="0" t="n">
        <f aca="false">D205*G205</f>
        <v>16191500</v>
      </c>
    </row>
    <row r="206" customFormat="false" ht="15" hidden="false" customHeight="false" outlineLevel="0" collapsed="false">
      <c r="A206" s="0" t="s">
        <v>84</v>
      </c>
      <c r="B206" s="1" t="s">
        <v>19</v>
      </c>
      <c r="C206" s="1" t="s">
        <v>61</v>
      </c>
      <c r="D206" s="0" t="n">
        <v>3130</v>
      </c>
      <c r="E206" s="0" t="n">
        <v>10050</v>
      </c>
      <c r="F206" s="0" t="n">
        <f aca="false">D206*E206</f>
        <v>31456500</v>
      </c>
      <c r="G206" s="0" t="n">
        <f aca="false">INDEX(마스터!$E:$E,MATCH(C206,마스터!$A:$A,0))</f>
        <v>5390</v>
      </c>
      <c r="H206" s="0" t="n">
        <f aca="false">D206*G206</f>
        <v>16870700</v>
      </c>
    </row>
    <row r="207" customFormat="false" ht="15" hidden="false" customHeight="false" outlineLevel="0" collapsed="false">
      <c r="A207" s="0" t="s">
        <v>84</v>
      </c>
      <c r="B207" s="1" t="s">
        <v>19</v>
      </c>
      <c r="C207" s="1" t="s">
        <v>86</v>
      </c>
      <c r="D207" s="0" t="n">
        <v>1510</v>
      </c>
      <c r="E207" s="0" t="n">
        <v>11990</v>
      </c>
      <c r="F207" s="0" t="n">
        <f aca="false">D207*E207</f>
        <v>18104900</v>
      </c>
      <c r="G207" s="0" t="n">
        <f aca="false">INDEX(마스터!$E:$E,MATCH(C207,마스터!$A:$A,0))</f>
        <v>6430</v>
      </c>
      <c r="H207" s="0" t="n">
        <f aca="false">D207*G207</f>
        <v>9709300</v>
      </c>
    </row>
    <row r="208" customFormat="false" ht="15" hidden="false" customHeight="false" outlineLevel="0" collapsed="false">
      <c r="A208" s="0" t="s">
        <v>84</v>
      </c>
      <c r="B208" s="1" t="s">
        <v>19</v>
      </c>
      <c r="C208" s="1" t="s">
        <v>59</v>
      </c>
      <c r="D208" s="0" t="n">
        <v>2970</v>
      </c>
      <c r="E208" s="0" t="n">
        <v>12960</v>
      </c>
      <c r="F208" s="0" t="n">
        <f aca="false">D208*E208</f>
        <v>38491200</v>
      </c>
      <c r="G208" s="0" t="n">
        <f aca="false">INDEX(마스터!$E:$E,MATCH(C208,마스터!$A:$A,0))</f>
        <v>6520</v>
      </c>
      <c r="H208" s="0" t="n">
        <f aca="false">D208*G208</f>
        <v>19364400</v>
      </c>
    </row>
    <row r="209" customFormat="false" ht="15" hidden="false" customHeight="false" outlineLevel="0" collapsed="false">
      <c r="A209" s="0" t="s">
        <v>84</v>
      </c>
      <c r="B209" s="1" t="s">
        <v>20</v>
      </c>
      <c r="C209" s="1" t="s">
        <v>61</v>
      </c>
      <c r="D209" s="0" t="n">
        <v>2350</v>
      </c>
      <c r="E209" s="0" t="n">
        <v>11120</v>
      </c>
      <c r="F209" s="0" t="n">
        <f aca="false">D209*E209</f>
        <v>26132000</v>
      </c>
      <c r="G209" s="0" t="n">
        <f aca="false">INDEX(마스터!$E:$E,MATCH(C209,마스터!$A:$A,0))</f>
        <v>5390</v>
      </c>
      <c r="H209" s="0" t="n">
        <f aca="false">D209*G209</f>
        <v>12666500</v>
      </c>
    </row>
    <row r="210" customFormat="false" ht="15" hidden="false" customHeight="false" outlineLevel="0" collapsed="false">
      <c r="A210" s="0" t="s">
        <v>84</v>
      </c>
      <c r="B210" s="1" t="s">
        <v>20</v>
      </c>
      <c r="C210" s="1" t="s">
        <v>48</v>
      </c>
      <c r="D210" s="0" t="n">
        <v>2920</v>
      </c>
      <c r="E210" s="0" t="n">
        <v>13280</v>
      </c>
      <c r="F210" s="0" t="n">
        <f aca="false">D210*E210</f>
        <v>38777600</v>
      </c>
      <c r="G210" s="0" t="n">
        <f aca="false">INDEX(마스터!$E:$E,MATCH(C210,마스터!$A:$A,0))</f>
        <v>6440</v>
      </c>
      <c r="H210" s="0" t="n">
        <f aca="false">D210*G210</f>
        <v>18804800</v>
      </c>
    </row>
    <row r="211" customFormat="false" ht="15" hidden="false" customHeight="false" outlineLevel="0" collapsed="false">
      <c r="A211" s="0" t="s">
        <v>84</v>
      </c>
      <c r="B211" s="1" t="s">
        <v>20</v>
      </c>
      <c r="C211" s="1" t="s">
        <v>44</v>
      </c>
      <c r="D211" s="0" t="n">
        <v>1560</v>
      </c>
      <c r="E211" s="0" t="n">
        <v>12200</v>
      </c>
      <c r="F211" s="0" t="n">
        <f aca="false">D211*E211</f>
        <v>19032000</v>
      </c>
      <c r="G211" s="0" t="n">
        <f aca="false">INDEX(마스터!$E:$E,MATCH(C211,마스터!$A:$A,0))</f>
        <v>5500</v>
      </c>
      <c r="H211" s="0" t="n">
        <f aca="false">D211*G211</f>
        <v>8580000</v>
      </c>
    </row>
    <row r="212" customFormat="false" ht="15" hidden="false" customHeight="false" outlineLevel="0" collapsed="false">
      <c r="A212" s="0" t="s">
        <v>84</v>
      </c>
      <c r="B212" s="1" t="s">
        <v>20</v>
      </c>
      <c r="C212" s="1" t="s">
        <v>40</v>
      </c>
      <c r="D212" s="0" t="n">
        <v>1620</v>
      </c>
      <c r="E212" s="0" t="n">
        <v>10050</v>
      </c>
      <c r="F212" s="0" t="n">
        <f aca="false">D212*E212</f>
        <v>16281000</v>
      </c>
      <c r="G212" s="0" t="n">
        <f aca="false">INDEX(마스터!$E:$E,MATCH(C212,마스터!$A:$A,0))</f>
        <v>4740</v>
      </c>
      <c r="H212" s="0" t="n">
        <f aca="false">D212*G212</f>
        <v>7678800</v>
      </c>
    </row>
    <row r="213" customFormat="false" ht="15" hidden="false" customHeight="false" outlineLevel="0" collapsed="false">
      <c r="A213" s="0" t="s">
        <v>84</v>
      </c>
      <c r="B213" s="1" t="s">
        <v>21</v>
      </c>
      <c r="C213" s="1" t="s">
        <v>72</v>
      </c>
      <c r="D213" s="0" t="n">
        <v>3160</v>
      </c>
      <c r="E213" s="0" t="n">
        <v>12270</v>
      </c>
      <c r="F213" s="0" t="n">
        <f aca="false">D213*E213</f>
        <v>38773200</v>
      </c>
      <c r="G213" s="0" t="n">
        <f aca="false">INDEX(마스터!$E:$E,MATCH(C213,마스터!$A:$A,0))</f>
        <v>5920</v>
      </c>
      <c r="H213" s="0" t="n">
        <f aca="false">D213*G213</f>
        <v>18707200</v>
      </c>
    </row>
    <row r="214" customFormat="false" ht="15" hidden="false" customHeight="false" outlineLevel="0" collapsed="false">
      <c r="A214" s="0" t="s">
        <v>84</v>
      </c>
      <c r="B214" s="1" t="s">
        <v>21</v>
      </c>
      <c r="C214" s="1" t="s">
        <v>36</v>
      </c>
      <c r="D214" s="0" t="n">
        <v>2160</v>
      </c>
      <c r="E214" s="0" t="n">
        <v>10160</v>
      </c>
      <c r="F214" s="0" t="n">
        <f aca="false">D214*E214</f>
        <v>21945600</v>
      </c>
      <c r="G214" s="0" t="n">
        <f aca="false">INDEX(마스터!$E:$E,MATCH(C214,마스터!$A:$A,0))</f>
        <v>4540</v>
      </c>
      <c r="H214" s="0" t="n">
        <f aca="false">D214*G214</f>
        <v>9806400</v>
      </c>
    </row>
    <row r="215" customFormat="false" ht="15" hidden="false" customHeight="false" outlineLevel="0" collapsed="false">
      <c r="A215" s="0" t="s">
        <v>84</v>
      </c>
      <c r="B215" s="1" t="s">
        <v>21</v>
      </c>
      <c r="C215" s="1" t="s">
        <v>57</v>
      </c>
      <c r="D215" s="0" t="n">
        <v>2840</v>
      </c>
      <c r="E215" s="0" t="n">
        <v>10510</v>
      </c>
      <c r="F215" s="0" t="n">
        <f aca="false">D215*E215</f>
        <v>29848400</v>
      </c>
      <c r="G215" s="0" t="n">
        <f aca="false">INDEX(마스터!$E:$E,MATCH(C215,마스터!$A:$A,0))</f>
        <v>4870</v>
      </c>
      <c r="H215" s="0" t="n">
        <f aca="false">D215*G215</f>
        <v>13830800</v>
      </c>
    </row>
    <row r="216" customFormat="false" ht="15" hidden="false" customHeight="false" outlineLevel="0" collapsed="false">
      <c r="A216" s="0" t="s">
        <v>84</v>
      </c>
      <c r="B216" s="1" t="s">
        <v>22</v>
      </c>
      <c r="C216" s="1" t="s">
        <v>77</v>
      </c>
      <c r="D216" s="0" t="n">
        <v>3770</v>
      </c>
      <c r="E216" s="0" t="n">
        <v>11950</v>
      </c>
      <c r="F216" s="0" t="n">
        <f aca="false">D216*E216</f>
        <v>45051500</v>
      </c>
      <c r="G216" s="0" t="n">
        <f aca="false">INDEX(마스터!$E:$E,MATCH(C216,마스터!$A:$A,0))</f>
        <v>5380</v>
      </c>
      <c r="H216" s="0" t="n">
        <f aca="false">D216*G216</f>
        <v>20282600</v>
      </c>
    </row>
    <row r="217" customFormat="false" ht="15" hidden="false" customHeight="false" outlineLevel="0" collapsed="false">
      <c r="A217" s="0" t="s">
        <v>84</v>
      </c>
      <c r="B217" s="1" t="s">
        <v>22</v>
      </c>
      <c r="C217" s="1" t="s">
        <v>36</v>
      </c>
      <c r="D217" s="0" t="n">
        <v>3000</v>
      </c>
      <c r="E217" s="0" t="n">
        <v>10200</v>
      </c>
      <c r="F217" s="0" t="n">
        <f aca="false">D217*E217</f>
        <v>30600000</v>
      </c>
      <c r="G217" s="0" t="n">
        <f aca="false">INDEX(마스터!$E:$E,MATCH(C217,마스터!$A:$A,0))</f>
        <v>4540</v>
      </c>
      <c r="H217" s="0" t="n">
        <f aca="false">D217*G217</f>
        <v>13620000</v>
      </c>
    </row>
    <row r="218" customFormat="false" ht="15" hidden="false" customHeight="false" outlineLevel="0" collapsed="false">
      <c r="A218" s="0" t="s">
        <v>84</v>
      </c>
      <c r="B218" s="1" t="s">
        <v>23</v>
      </c>
      <c r="C218" s="1" t="s">
        <v>77</v>
      </c>
      <c r="D218" s="0" t="n">
        <v>3290</v>
      </c>
      <c r="E218" s="0" t="n">
        <v>11860</v>
      </c>
      <c r="F218" s="0" t="n">
        <f aca="false">D218*E218</f>
        <v>39019400</v>
      </c>
      <c r="G218" s="0" t="n">
        <f aca="false">INDEX(마스터!$E:$E,MATCH(C218,마스터!$A:$A,0))</f>
        <v>5380</v>
      </c>
      <c r="H218" s="0" t="n">
        <f aca="false">D218*G218</f>
        <v>17700200</v>
      </c>
    </row>
    <row r="219" customFormat="false" ht="15" hidden="false" customHeight="false" outlineLevel="0" collapsed="false">
      <c r="A219" s="0" t="s">
        <v>84</v>
      </c>
      <c r="B219" s="1" t="s">
        <v>23</v>
      </c>
      <c r="C219" s="1" t="s">
        <v>59</v>
      </c>
      <c r="D219" s="0" t="n">
        <v>2710</v>
      </c>
      <c r="E219" s="0" t="n">
        <v>13960</v>
      </c>
      <c r="F219" s="0" t="n">
        <f aca="false">D219*E219</f>
        <v>37831600</v>
      </c>
      <c r="G219" s="0" t="n">
        <f aca="false">INDEX(마스터!$E:$E,MATCH(C219,마스터!$A:$A,0))</f>
        <v>6520</v>
      </c>
      <c r="H219" s="0" t="n">
        <f aca="false">D219*G219</f>
        <v>17669200</v>
      </c>
    </row>
    <row r="220" customFormat="false" ht="15" hidden="false" customHeight="false" outlineLevel="0" collapsed="false">
      <c r="A220" s="0" t="s">
        <v>84</v>
      </c>
      <c r="B220" s="1" t="s">
        <v>25</v>
      </c>
      <c r="C220" s="1" t="s">
        <v>60</v>
      </c>
      <c r="D220" s="0" t="n">
        <v>2710</v>
      </c>
      <c r="E220" s="0" t="n">
        <v>13650</v>
      </c>
      <c r="F220" s="0" t="n">
        <f aca="false">D220*E220</f>
        <v>36991500</v>
      </c>
      <c r="G220" s="0" t="n">
        <f aca="false">INDEX(마스터!$E:$E,MATCH(C220,마스터!$A:$A,0))</f>
        <v>6980</v>
      </c>
      <c r="H220" s="0" t="n">
        <f aca="false">D220*G220</f>
        <v>18915800</v>
      </c>
    </row>
    <row r="221" customFormat="false" ht="15" hidden="false" customHeight="false" outlineLevel="0" collapsed="false">
      <c r="A221" s="0" t="s">
        <v>84</v>
      </c>
      <c r="B221" s="1" t="s">
        <v>25</v>
      </c>
      <c r="C221" s="1" t="s">
        <v>57</v>
      </c>
      <c r="D221" s="0" t="n">
        <v>2210</v>
      </c>
      <c r="E221" s="0" t="n">
        <v>10500</v>
      </c>
      <c r="F221" s="0" t="n">
        <f aca="false">D221*E221</f>
        <v>23205000</v>
      </c>
      <c r="G221" s="0" t="n">
        <f aca="false">INDEX(마스터!$E:$E,MATCH(C221,마스터!$A:$A,0))</f>
        <v>4870</v>
      </c>
      <c r="H221" s="0" t="n">
        <f aca="false">D221*G221</f>
        <v>10762700</v>
      </c>
    </row>
    <row r="222" customFormat="false" ht="15" hidden="false" customHeight="false" outlineLevel="0" collapsed="false">
      <c r="A222" s="0" t="s">
        <v>84</v>
      </c>
      <c r="B222" s="1" t="s">
        <v>24</v>
      </c>
      <c r="C222" s="1" t="s">
        <v>60</v>
      </c>
      <c r="D222" s="0" t="n">
        <v>2860</v>
      </c>
      <c r="E222" s="0" t="n">
        <v>13690</v>
      </c>
      <c r="F222" s="0" t="n">
        <f aca="false">D222*E222</f>
        <v>39153400</v>
      </c>
      <c r="G222" s="0" t="n">
        <f aca="false">INDEX(마스터!$E:$E,MATCH(C222,마스터!$A:$A,0))</f>
        <v>6980</v>
      </c>
      <c r="H222" s="0" t="n">
        <f aca="false">D222*G222</f>
        <v>19962800</v>
      </c>
    </row>
    <row r="223" customFormat="false" ht="15" hidden="false" customHeight="false" outlineLevel="0" collapsed="false">
      <c r="A223" s="0" t="s">
        <v>84</v>
      </c>
      <c r="B223" s="1" t="s">
        <v>24</v>
      </c>
      <c r="C223" s="1" t="s">
        <v>42</v>
      </c>
      <c r="D223" s="0" t="n">
        <v>2060</v>
      </c>
      <c r="E223" s="0" t="n">
        <v>13340</v>
      </c>
      <c r="F223" s="0" t="n">
        <f aca="false">D223*E223</f>
        <v>27480400</v>
      </c>
      <c r="G223" s="0" t="n">
        <f aca="false">INDEX(마스터!$E:$E,MATCH(C223,마스터!$A:$A,0))</f>
        <v>6730</v>
      </c>
      <c r="H223" s="0" t="n">
        <f aca="false">D223*G223</f>
        <v>13863800</v>
      </c>
    </row>
    <row r="224" customFormat="false" ht="15" hidden="false" customHeight="false" outlineLevel="0" collapsed="false">
      <c r="A224" s="0" t="s">
        <v>87</v>
      </c>
      <c r="B224" s="1" t="s">
        <v>14</v>
      </c>
      <c r="C224" s="1" t="s">
        <v>38</v>
      </c>
      <c r="D224" s="0" t="n">
        <v>2060</v>
      </c>
      <c r="E224" s="0" t="n">
        <v>11280</v>
      </c>
      <c r="F224" s="0" t="n">
        <f aca="false">D224*E224</f>
        <v>23236800</v>
      </c>
      <c r="G224" s="0" t="n">
        <f aca="false">INDEX(마스터!$E:$E,MATCH(C224,마스터!$A:$A,0))</f>
        <v>5670</v>
      </c>
      <c r="H224" s="0" t="n">
        <f aca="false">D224*G224</f>
        <v>11680200</v>
      </c>
    </row>
    <row r="225" customFormat="false" ht="15" hidden="false" customHeight="false" outlineLevel="0" collapsed="false">
      <c r="A225" s="0" t="s">
        <v>87</v>
      </c>
      <c r="B225" s="1" t="s">
        <v>14</v>
      </c>
      <c r="C225" s="1" t="s">
        <v>64</v>
      </c>
      <c r="D225" s="0" t="n">
        <v>3740</v>
      </c>
      <c r="E225" s="0" t="n">
        <v>11600</v>
      </c>
      <c r="F225" s="0" t="n">
        <f aca="false">D225*E225</f>
        <v>43384000</v>
      </c>
      <c r="G225" s="0" t="n">
        <f aca="false">INDEX(마스터!$E:$E,MATCH(C225,마스터!$A:$A,0))</f>
        <v>5890</v>
      </c>
      <c r="H225" s="0" t="n">
        <f aca="false">D225*G225</f>
        <v>22028600</v>
      </c>
    </row>
    <row r="226" customFormat="false" ht="15" hidden="false" customHeight="false" outlineLevel="0" collapsed="false">
      <c r="A226" s="0" t="s">
        <v>87</v>
      </c>
      <c r="B226" s="1" t="s">
        <v>14</v>
      </c>
      <c r="C226" s="1" t="s">
        <v>48</v>
      </c>
      <c r="D226" s="0" t="n">
        <v>4610</v>
      </c>
      <c r="E226" s="0" t="n">
        <v>11920</v>
      </c>
      <c r="F226" s="0" t="n">
        <f aca="false">D226*E226</f>
        <v>54951200</v>
      </c>
      <c r="G226" s="0" t="n">
        <f aca="false">INDEX(마스터!$E:$E,MATCH(C226,마스터!$A:$A,0))</f>
        <v>6440</v>
      </c>
      <c r="H226" s="0" t="n">
        <f aca="false">D226*G226</f>
        <v>29688400</v>
      </c>
    </row>
    <row r="227" customFormat="false" ht="15" hidden="false" customHeight="false" outlineLevel="0" collapsed="false">
      <c r="A227" s="0" t="s">
        <v>87</v>
      </c>
      <c r="B227" s="1" t="s">
        <v>14</v>
      </c>
      <c r="C227" s="1" t="s">
        <v>55</v>
      </c>
      <c r="D227" s="0" t="n">
        <v>5020</v>
      </c>
      <c r="E227" s="0" t="n">
        <v>11920</v>
      </c>
      <c r="F227" s="0" t="n">
        <f aca="false">D227*E227</f>
        <v>59838400</v>
      </c>
      <c r="G227" s="0" t="n">
        <f aca="false">INDEX(마스터!$E:$E,MATCH(C227,마스터!$A:$A,0))</f>
        <v>6040</v>
      </c>
      <c r="H227" s="0" t="n">
        <f aca="false">D227*G227</f>
        <v>30320800</v>
      </c>
    </row>
    <row r="228" customFormat="false" ht="15" hidden="false" customHeight="false" outlineLevel="0" collapsed="false">
      <c r="A228" s="0" t="s">
        <v>87</v>
      </c>
      <c r="B228" s="1" t="s">
        <v>14</v>
      </c>
      <c r="C228" s="1" t="s">
        <v>88</v>
      </c>
      <c r="D228" s="0" t="n">
        <v>3380</v>
      </c>
      <c r="E228" s="0" t="n">
        <v>10950</v>
      </c>
      <c r="F228" s="0" t="n">
        <f aca="false">D228*E228</f>
        <v>37011000</v>
      </c>
      <c r="G228" s="0" t="n">
        <f aca="false">INDEX(마스터!$E:$E,MATCH(C228,마스터!$A:$A,0))</f>
        <v>5930</v>
      </c>
      <c r="H228" s="0" t="n">
        <f aca="false">D228*G228</f>
        <v>20043400</v>
      </c>
    </row>
    <row r="229" customFormat="false" ht="15" hidden="false" customHeight="false" outlineLevel="0" collapsed="false">
      <c r="A229" s="0" t="s">
        <v>87</v>
      </c>
      <c r="B229" s="1" t="s">
        <v>14</v>
      </c>
      <c r="C229" s="1" t="s">
        <v>80</v>
      </c>
      <c r="D229" s="0" t="n">
        <v>3090</v>
      </c>
      <c r="E229" s="0" t="n">
        <v>9020</v>
      </c>
      <c r="F229" s="0" t="n">
        <f aca="false">D229*E229</f>
        <v>27871800</v>
      </c>
      <c r="G229" s="0" t="n">
        <f aca="false">INDEX(마스터!$E:$E,MATCH(C229,마스터!$A:$A,0))</f>
        <v>4690</v>
      </c>
      <c r="H229" s="0" t="n">
        <f aca="false">D229*G229</f>
        <v>14492100</v>
      </c>
    </row>
    <row r="230" customFormat="false" ht="15" hidden="false" customHeight="false" outlineLevel="0" collapsed="false">
      <c r="A230" s="0" t="s">
        <v>87</v>
      </c>
      <c r="B230" s="1" t="s">
        <v>14</v>
      </c>
      <c r="C230" s="1" t="s">
        <v>47</v>
      </c>
      <c r="D230" s="0" t="n">
        <v>9220</v>
      </c>
      <c r="E230" s="0" t="n">
        <v>8380</v>
      </c>
      <c r="F230" s="0" t="n">
        <f aca="false">D230*E230</f>
        <v>77263600</v>
      </c>
      <c r="G230" s="0" t="n">
        <f aca="false">INDEX(마스터!$E:$E,MATCH(C230,마스터!$A:$A,0))</f>
        <v>4170</v>
      </c>
      <c r="H230" s="0" t="n">
        <f aca="false">D230*G230</f>
        <v>38447400</v>
      </c>
    </row>
    <row r="231" customFormat="false" ht="15" hidden="false" customHeight="false" outlineLevel="0" collapsed="false">
      <c r="A231" s="0" t="s">
        <v>87</v>
      </c>
      <c r="B231" s="1" t="s">
        <v>15</v>
      </c>
      <c r="C231" s="1" t="s">
        <v>37</v>
      </c>
      <c r="D231" s="0" t="n">
        <v>4910</v>
      </c>
      <c r="E231" s="0" t="n">
        <v>9740</v>
      </c>
      <c r="F231" s="0" t="n">
        <f aca="false">D231*E231</f>
        <v>47823400</v>
      </c>
      <c r="G231" s="0" t="n">
        <f aca="false">INDEX(마스터!$E:$E,MATCH(C231,마스터!$A:$A,0))</f>
        <v>4900</v>
      </c>
      <c r="H231" s="0" t="n">
        <f aca="false">D231*G231</f>
        <v>24059000</v>
      </c>
    </row>
    <row r="232" customFormat="false" ht="15" hidden="false" customHeight="false" outlineLevel="0" collapsed="false">
      <c r="A232" s="0" t="s">
        <v>87</v>
      </c>
      <c r="B232" s="1" t="s">
        <v>15</v>
      </c>
      <c r="C232" s="1" t="s">
        <v>38</v>
      </c>
      <c r="D232" s="0" t="n">
        <v>1930</v>
      </c>
      <c r="E232" s="0" t="n">
        <v>11360</v>
      </c>
      <c r="F232" s="0" t="n">
        <f aca="false">D232*E232</f>
        <v>21924800</v>
      </c>
      <c r="G232" s="0" t="n">
        <f aca="false">INDEX(마스터!$E:$E,MATCH(C232,마스터!$A:$A,0))</f>
        <v>5670</v>
      </c>
      <c r="H232" s="0" t="n">
        <f aca="false">D232*G232</f>
        <v>10943100</v>
      </c>
    </row>
    <row r="233" customFormat="false" ht="15" hidden="false" customHeight="false" outlineLevel="0" collapsed="false">
      <c r="A233" s="0" t="s">
        <v>87</v>
      </c>
      <c r="B233" s="1" t="s">
        <v>15</v>
      </c>
      <c r="C233" s="1" t="s">
        <v>41</v>
      </c>
      <c r="D233" s="0" t="n">
        <v>4370</v>
      </c>
      <c r="E233" s="0" t="n">
        <v>11040</v>
      </c>
      <c r="F233" s="0" t="n">
        <f aca="false">D233*E233</f>
        <v>48244800</v>
      </c>
      <c r="G233" s="0" t="n">
        <f aca="false">INDEX(마스터!$E:$E,MATCH(C233,마스터!$A:$A,0))</f>
        <v>5480</v>
      </c>
      <c r="H233" s="0" t="n">
        <f aca="false">D233*G233</f>
        <v>23947600</v>
      </c>
    </row>
    <row r="234" customFormat="false" ht="15" hidden="false" customHeight="false" outlineLevel="0" collapsed="false">
      <c r="A234" s="0" t="s">
        <v>87</v>
      </c>
      <c r="B234" s="1" t="s">
        <v>15</v>
      </c>
      <c r="C234" s="1" t="s">
        <v>77</v>
      </c>
      <c r="D234" s="0" t="n">
        <v>4280</v>
      </c>
      <c r="E234" s="0" t="n">
        <v>11040</v>
      </c>
      <c r="F234" s="0" t="n">
        <f aca="false">D234*E234</f>
        <v>47251200</v>
      </c>
      <c r="G234" s="0" t="n">
        <f aca="false">INDEX(마스터!$E:$E,MATCH(C234,마스터!$A:$A,0))</f>
        <v>5380</v>
      </c>
      <c r="H234" s="0" t="n">
        <f aca="false">D234*G234</f>
        <v>23026400</v>
      </c>
    </row>
    <row r="235" customFormat="false" ht="15" hidden="false" customHeight="false" outlineLevel="0" collapsed="false">
      <c r="A235" s="0" t="s">
        <v>87</v>
      </c>
      <c r="B235" s="1" t="s">
        <v>15</v>
      </c>
      <c r="C235" s="1" t="s">
        <v>56</v>
      </c>
      <c r="D235" s="0" t="n">
        <v>3150</v>
      </c>
      <c r="E235" s="0" t="n">
        <v>10070</v>
      </c>
      <c r="F235" s="0" t="n">
        <f aca="false">D235*E235</f>
        <v>31720500</v>
      </c>
      <c r="G235" s="0" t="n">
        <f aca="false">INDEX(마스터!$E:$E,MATCH(C235,마스터!$A:$A,0))</f>
        <v>5470</v>
      </c>
      <c r="H235" s="0" t="n">
        <f aca="false">D235*G235</f>
        <v>17230500</v>
      </c>
    </row>
    <row r="236" customFormat="false" ht="15" hidden="false" customHeight="false" outlineLevel="0" collapsed="false">
      <c r="A236" s="0" t="s">
        <v>87</v>
      </c>
      <c r="B236" s="1" t="s">
        <v>15</v>
      </c>
      <c r="C236" s="1" t="s">
        <v>52</v>
      </c>
      <c r="D236" s="0" t="n">
        <v>3630</v>
      </c>
      <c r="E236" s="0" t="n">
        <v>10390</v>
      </c>
      <c r="F236" s="0" t="n">
        <f aca="false">D236*E236</f>
        <v>37715700</v>
      </c>
      <c r="G236" s="0" t="n">
        <f aca="false">INDEX(마스터!$E:$E,MATCH(C236,마스터!$A:$A,0))</f>
        <v>5110</v>
      </c>
      <c r="H236" s="0" t="n">
        <f aca="false">D236*G236</f>
        <v>18549300</v>
      </c>
    </row>
    <row r="237" customFormat="false" ht="15" hidden="false" customHeight="false" outlineLevel="0" collapsed="false">
      <c r="A237" s="0" t="s">
        <v>87</v>
      </c>
      <c r="B237" s="1" t="s">
        <v>15</v>
      </c>
      <c r="C237" s="1" t="s">
        <v>47</v>
      </c>
      <c r="D237" s="0" t="n">
        <v>6390</v>
      </c>
      <c r="E237" s="0" t="n">
        <v>8440</v>
      </c>
      <c r="F237" s="0" t="n">
        <f aca="false">D237*E237</f>
        <v>53931600</v>
      </c>
      <c r="G237" s="0" t="n">
        <f aca="false">INDEX(마스터!$E:$E,MATCH(C237,마스터!$A:$A,0))</f>
        <v>4170</v>
      </c>
      <c r="H237" s="0" t="n">
        <f aca="false">D237*G237</f>
        <v>26646300</v>
      </c>
    </row>
    <row r="238" customFormat="false" ht="15" hidden="false" customHeight="false" outlineLevel="0" collapsed="false">
      <c r="A238" s="0" t="s">
        <v>87</v>
      </c>
      <c r="B238" s="1" t="s">
        <v>16</v>
      </c>
      <c r="C238" s="1" t="s">
        <v>45</v>
      </c>
      <c r="D238" s="0" t="n">
        <v>4170</v>
      </c>
      <c r="E238" s="0" t="n">
        <v>13200</v>
      </c>
      <c r="F238" s="0" t="n">
        <f aca="false">D238*E238</f>
        <v>55044000</v>
      </c>
      <c r="G238" s="0" t="n">
        <f aca="false">INDEX(마스터!$E:$E,MATCH(C238,마스터!$A:$A,0))</f>
        <v>6110</v>
      </c>
      <c r="H238" s="0" t="n">
        <f aca="false">D238*G238</f>
        <v>25478700</v>
      </c>
    </row>
    <row r="239" customFormat="false" ht="15" hidden="false" customHeight="false" outlineLevel="0" collapsed="false">
      <c r="A239" s="0" t="s">
        <v>87</v>
      </c>
      <c r="B239" s="1" t="s">
        <v>16</v>
      </c>
      <c r="C239" s="1" t="s">
        <v>38</v>
      </c>
      <c r="D239" s="0" t="n">
        <v>2610</v>
      </c>
      <c r="E239" s="0" t="n">
        <v>12480</v>
      </c>
      <c r="F239" s="0" t="n">
        <f aca="false">D239*E239</f>
        <v>32572800</v>
      </c>
      <c r="G239" s="0" t="n">
        <f aca="false">INDEX(마스터!$E:$E,MATCH(C239,마스터!$A:$A,0))</f>
        <v>5670</v>
      </c>
      <c r="H239" s="0" t="n">
        <f aca="false">D239*G239</f>
        <v>14798700</v>
      </c>
    </row>
    <row r="240" customFormat="false" ht="15" hidden="false" customHeight="false" outlineLevel="0" collapsed="false">
      <c r="A240" s="0" t="s">
        <v>87</v>
      </c>
      <c r="B240" s="1" t="s">
        <v>16</v>
      </c>
      <c r="C240" s="1" t="s">
        <v>56</v>
      </c>
      <c r="D240" s="0" t="n">
        <v>3950</v>
      </c>
      <c r="E240" s="0" t="n">
        <v>11060</v>
      </c>
      <c r="F240" s="0" t="n">
        <f aca="false">D240*E240</f>
        <v>43687000</v>
      </c>
      <c r="G240" s="0" t="n">
        <f aca="false">INDEX(마스터!$E:$E,MATCH(C240,마스터!$A:$A,0))</f>
        <v>5470</v>
      </c>
      <c r="H240" s="0" t="n">
        <f aca="false">D240*G240</f>
        <v>21606500</v>
      </c>
    </row>
    <row r="241" customFormat="false" ht="15" hidden="false" customHeight="false" outlineLevel="0" collapsed="false">
      <c r="A241" s="0" t="s">
        <v>87</v>
      </c>
      <c r="B241" s="1" t="s">
        <v>16</v>
      </c>
      <c r="C241" s="1" t="s">
        <v>66</v>
      </c>
      <c r="D241" s="0" t="n">
        <v>5290</v>
      </c>
      <c r="E241" s="0" t="n">
        <v>13200</v>
      </c>
      <c r="F241" s="0" t="n">
        <f aca="false">D241*E241</f>
        <v>69828000</v>
      </c>
      <c r="G241" s="0" t="n">
        <f aca="false">INDEX(마스터!$E:$E,MATCH(C241,마스터!$A:$A,0))</f>
        <v>6360</v>
      </c>
      <c r="H241" s="0" t="n">
        <f aca="false">D241*G241</f>
        <v>33644400</v>
      </c>
    </row>
    <row r="242" customFormat="false" ht="15" hidden="false" customHeight="false" outlineLevel="0" collapsed="false">
      <c r="A242" s="0" t="s">
        <v>87</v>
      </c>
      <c r="B242" s="1" t="s">
        <v>16</v>
      </c>
      <c r="C242" s="1" t="s">
        <v>47</v>
      </c>
      <c r="D242" s="0" t="n">
        <v>5390</v>
      </c>
      <c r="E242" s="0" t="n">
        <v>9270</v>
      </c>
      <c r="F242" s="0" t="n">
        <f aca="false">D242*E242</f>
        <v>49965300</v>
      </c>
      <c r="G242" s="0" t="n">
        <f aca="false">INDEX(마스터!$E:$E,MATCH(C242,마스터!$A:$A,0))</f>
        <v>4170</v>
      </c>
      <c r="H242" s="0" t="n">
        <f aca="false">D242*G242</f>
        <v>22476300</v>
      </c>
    </row>
    <row r="243" customFormat="false" ht="15" hidden="false" customHeight="false" outlineLevel="0" collapsed="false">
      <c r="A243" s="0" t="s">
        <v>87</v>
      </c>
      <c r="B243" s="1" t="s">
        <v>17</v>
      </c>
      <c r="C243" s="1" t="s">
        <v>38</v>
      </c>
      <c r="D243" s="0" t="n">
        <v>1290</v>
      </c>
      <c r="E243" s="0" t="n">
        <v>11310</v>
      </c>
      <c r="F243" s="0" t="n">
        <f aca="false">D243*E243</f>
        <v>14589900</v>
      </c>
      <c r="G243" s="0" t="n">
        <f aca="false">INDEX(마스터!$E:$E,MATCH(C243,마스터!$A:$A,0))</f>
        <v>5670</v>
      </c>
      <c r="H243" s="0" t="n">
        <f aca="false">D243*G243</f>
        <v>7314300</v>
      </c>
    </row>
    <row r="244" customFormat="false" ht="15" hidden="false" customHeight="false" outlineLevel="0" collapsed="false">
      <c r="A244" s="0" t="s">
        <v>87</v>
      </c>
      <c r="B244" s="1" t="s">
        <v>17</v>
      </c>
      <c r="C244" s="1" t="s">
        <v>33</v>
      </c>
      <c r="D244" s="0" t="n">
        <v>2750</v>
      </c>
      <c r="E244" s="0" t="n">
        <v>12280</v>
      </c>
      <c r="F244" s="0" t="n">
        <f aca="false">D244*E244</f>
        <v>33770000</v>
      </c>
      <c r="G244" s="0" t="n">
        <f aca="false">INDEX(마스터!$E:$E,MATCH(C244,마스터!$A:$A,0))</f>
        <v>6790</v>
      </c>
      <c r="H244" s="0" t="n">
        <f aca="false">D244*G244</f>
        <v>18672500</v>
      </c>
    </row>
    <row r="245" customFormat="false" ht="15" hidden="false" customHeight="false" outlineLevel="0" collapsed="false">
      <c r="A245" s="0" t="s">
        <v>87</v>
      </c>
      <c r="B245" s="1" t="s">
        <v>17</v>
      </c>
      <c r="C245" s="1" t="s">
        <v>64</v>
      </c>
      <c r="D245" s="0" t="n">
        <v>2130</v>
      </c>
      <c r="E245" s="0" t="n">
        <v>11630</v>
      </c>
      <c r="F245" s="0" t="n">
        <f aca="false">D245*E245</f>
        <v>24771900</v>
      </c>
      <c r="G245" s="0" t="n">
        <f aca="false">INDEX(마스터!$E:$E,MATCH(C245,마스터!$A:$A,0))</f>
        <v>5890</v>
      </c>
      <c r="H245" s="0" t="n">
        <f aca="false">D245*G245</f>
        <v>12545700</v>
      </c>
    </row>
    <row r="246" customFormat="false" ht="15" hidden="false" customHeight="false" outlineLevel="0" collapsed="false">
      <c r="A246" s="0" t="s">
        <v>87</v>
      </c>
      <c r="B246" s="1" t="s">
        <v>17</v>
      </c>
      <c r="C246" s="1" t="s">
        <v>34</v>
      </c>
      <c r="D246" s="0" t="n">
        <v>2910</v>
      </c>
      <c r="E246" s="0" t="n">
        <v>11950</v>
      </c>
      <c r="F246" s="0" t="n">
        <f aca="false">D246*E246</f>
        <v>34774500</v>
      </c>
      <c r="G246" s="0" t="n">
        <f aca="false">INDEX(마스터!$E:$E,MATCH(C246,마스터!$A:$A,0))</f>
        <v>6630</v>
      </c>
      <c r="H246" s="0" t="n">
        <f aca="false">D246*G246</f>
        <v>19293300</v>
      </c>
    </row>
    <row r="247" customFormat="false" ht="15" hidden="false" customHeight="false" outlineLevel="0" collapsed="false">
      <c r="A247" s="0" t="s">
        <v>87</v>
      </c>
      <c r="B247" s="1" t="s">
        <v>17</v>
      </c>
      <c r="C247" s="1" t="s">
        <v>51</v>
      </c>
      <c r="D247" s="0" t="n">
        <v>2780</v>
      </c>
      <c r="E247" s="0" t="n">
        <v>13240</v>
      </c>
      <c r="F247" s="0" t="n">
        <f aca="false">D247*E247</f>
        <v>36807200</v>
      </c>
      <c r="G247" s="0" t="n">
        <f aca="false">INDEX(마스터!$E:$E,MATCH(C247,마스터!$A:$A,0))</f>
        <v>7480</v>
      </c>
      <c r="H247" s="0" t="n">
        <f aca="false">D247*G247</f>
        <v>20794400</v>
      </c>
    </row>
    <row r="248" customFormat="false" ht="15" hidden="false" customHeight="false" outlineLevel="0" collapsed="false">
      <c r="A248" s="0" t="s">
        <v>87</v>
      </c>
      <c r="B248" s="1" t="s">
        <v>17</v>
      </c>
      <c r="C248" s="1" t="s">
        <v>35</v>
      </c>
      <c r="D248" s="0" t="n">
        <v>2090</v>
      </c>
      <c r="E248" s="0" t="n">
        <v>9690</v>
      </c>
      <c r="F248" s="0" t="n">
        <f aca="false">D248*E248</f>
        <v>20252100</v>
      </c>
      <c r="G248" s="0" t="n">
        <f aca="false">INDEX(마스터!$E:$E,MATCH(C248,마스터!$A:$A,0))</f>
        <v>4920</v>
      </c>
      <c r="H248" s="0" t="n">
        <f aca="false">D248*G248</f>
        <v>10282800</v>
      </c>
    </row>
    <row r="249" customFormat="false" ht="15" hidden="false" customHeight="false" outlineLevel="0" collapsed="false">
      <c r="A249" s="0" t="s">
        <v>87</v>
      </c>
      <c r="B249" s="1" t="s">
        <v>17</v>
      </c>
      <c r="C249" s="1" t="s">
        <v>47</v>
      </c>
      <c r="D249" s="0" t="n">
        <v>4300</v>
      </c>
      <c r="E249" s="0" t="n">
        <v>8400</v>
      </c>
      <c r="F249" s="0" t="n">
        <f aca="false">D249*E249</f>
        <v>36120000</v>
      </c>
      <c r="G249" s="0" t="n">
        <f aca="false">INDEX(마스터!$E:$E,MATCH(C249,마스터!$A:$A,0))</f>
        <v>4170</v>
      </c>
      <c r="H249" s="0" t="n">
        <f aca="false">D249*G249</f>
        <v>17931000</v>
      </c>
    </row>
    <row r="250" customFormat="false" ht="15" hidden="false" customHeight="false" outlineLevel="0" collapsed="false">
      <c r="A250" s="0" t="s">
        <v>87</v>
      </c>
      <c r="B250" s="1" t="s">
        <v>18</v>
      </c>
      <c r="C250" s="1" t="s">
        <v>82</v>
      </c>
      <c r="D250" s="0" t="n">
        <v>3250</v>
      </c>
      <c r="E250" s="0" t="n">
        <v>11400</v>
      </c>
      <c r="F250" s="0" t="n">
        <f aca="false">D250*E250</f>
        <v>37050000</v>
      </c>
      <c r="G250" s="0" t="n">
        <f aca="false">INDEX(마스터!$E:$E,MATCH(C250,마스터!$A:$A,0))</f>
        <v>5660</v>
      </c>
      <c r="H250" s="0" t="n">
        <f aca="false">D250*G250</f>
        <v>18395000</v>
      </c>
    </row>
    <row r="251" customFormat="false" ht="15" hidden="false" customHeight="false" outlineLevel="0" collapsed="false">
      <c r="A251" s="0" t="s">
        <v>87</v>
      </c>
      <c r="B251" s="1" t="s">
        <v>18</v>
      </c>
      <c r="C251" s="1" t="s">
        <v>45</v>
      </c>
      <c r="D251" s="0" t="n">
        <v>4350</v>
      </c>
      <c r="E251" s="0" t="n">
        <v>13180</v>
      </c>
      <c r="F251" s="0" t="n">
        <f aca="false">D251*E251</f>
        <v>57333000</v>
      </c>
      <c r="G251" s="0" t="n">
        <f aca="false">INDEX(마스터!$E:$E,MATCH(C251,마스터!$A:$A,0))</f>
        <v>6110</v>
      </c>
      <c r="H251" s="0" t="n">
        <f aca="false">D251*G251</f>
        <v>26578500</v>
      </c>
    </row>
    <row r="252" customFormat="false" ht="15" hidden="false" customHeight="false" outlineLevel="0" collapsed="false">
      <c r="A252" s="0" t="s">
        <v>87</v>
      </c>
      <c r="B252" s="1" t="s">
        <v>18</v>
      </c>
      <c r="C252" s="1" t="s">
        <v>34</v>
      </c>
      <c r="D252" s="0" t="n">
        <v>4320</v>
      </c>
      <c r="E252" s="0" t="n">
        <v>13180</v>
      </c>
      <c r="F252" s="0" t="n">
        <f aca="false">D252*E252</f>
        <v>56937600</v>
      </c>
      <c r="G252" s="0" t="n">
        <f aca="false">INDEX(마스터!$E:$E,MATCH(C252,마스터!$A:$A,0))</f>
        <v>6630</v>
      </c>
      <c r="H252" s="0" t="n">
        <f aca="false">D252*G252</f>
        <v>28641600</v>
      </c>
    </row>
    <row r="253" customFormat="false" ht="15" hidden="false" customHeight="false" outlineLevel="0" collapsed="false">
      <c r="A253" s="0" t="s">
        <v>87</v>
      </c>
      <c r="B253" s="1" t="s">
        <v>18</v>
      </c>
      <c r="C253" s="1" t="s">
        <v>55</v>
      </c>
      <c r="D253" s="0" t="n">
        <v>4110</v>
      </c>
      <c r="E253" s="0" t="n">
        <v>13180</v>
      </c>
      <c r="F253" s="0" t="n">
        <f aca="false">D253*E253</f>
        <v>54169800</v>
      </c>
      <c r="G253" s="0" t="n">
        <f aca="false">INDEX(마스터!$E:$E,MATCH(C253,마스터!$A:$A,0))</f>
        <v>6040</v>
      </c>
      <c r="H253" s="0" t="n">
        <f aca="false">D253*G253</f>
        <v>24824400</v>
      </c>
    </row>
    <row r="254" customFormat="false" ht="15" hidden="false" customHeight="false" outlineLevel="0" collapsed="false">
      <c r="A254" s="0" t="s">
        <v>87</v>
      </c>
      <c r="B254" s="1" t="s">
        <v>19</v>
      </c>
      <c r="C254" s="1" t="s">
        <v>61</v>
      </c>
      <c r="D254" s="0" t="n">
        <v>3000</v>
      </c>
      <c r="E254" s="0" t="n">
        <v>10030</v>
      </c>
      <c r="F254" s="0" t="n">
        <f aca="false">D254*E254</f>
        <v>30090000</v>
      </c>
      <c r="G254" s="0" t="n">
        <f aca="false">INDEX(마스터!$E:$E,MATCH(C254,마스터!$A:$A,0))</f>
        <v>5390</v>
      </c>
      <c r="H254" s="0" t="n">
        <f aca="false">D254*G254</f>
        <v>16170000</v>
      </c>
    </row>
    <row r="255" customFormat="false" ht="15" hidden="false" customHeight="false" outlineLevel="0" collapsed="false">
      <c r="A255" s="0" t="s">
        <v>87</v>
      </c>
      <c r="B255" s="1" t="s">
        <v>19</v>
      </c>
      <c r="C255" s="1" t="s">
        <v>38</v>
      </c>
      <c r="D255" s="0" t="n">
        <v>1190</v>
      </c>
      <c r="E255" s="0" t="n">
        <v>11330</v>
      </c>
      <c r="F255" s="0" t="n">
        <f aca="false">D255*E255</f>
        <v>13482700</v>
      </c>
      <c r="G255" s="0" t="n">
        <f aca="false">INDEX(마스터!$E:$E,MATCH(C255,마스터!$A:$A,0))</f>
        <v>5670</v>
      </c>
      <c r="H255" s="0" t="n">
        <f aca="false">D255*G255</f>
        <v>6747300</v>
      </c>
    </row>
    <row r="256" customFormat="false" ht="15" hidden="false" customHeight="false" outlineLevel="0" collapsed="false">
      <c r="A256" s="0" t="s">
        <v>87</v>
      </c>
      <c r="B256" s="1" t="s">
        <v>19</v>
      </c>
      <c r="C256" s="1" t="s">
        <v>77</v>
      </c>
      <c r="D256" s="0" t="n">
        <v>2390</v>
      </c>
      <c r="E256" s="0" t="n">
        <v>11000</v>
      </c>
      <c r="F256" s="0" t="n">
        <f aca="false">D256*E256</f>
        <v>26290000</v>
      </c>
      <c r="G256" s="0" t="n">
        <f aca="false">INDEX(마스터!$E:$E,MATCH(C256,마스터!$A:$A,0))</f>
        <v>5380</v>
      </c>
      <c r="H256" s="0" t="n">
        <f aca="false">D256*G256</f>
        <v>12858200</v>
      </c>
    </row>
    <row r="257" customFormat="false" ht="15" hidden="false" customHeight="false" outlineLevel="0" collapsed="false">
      <c r="A257" s="0" t="s">
        <v>87</v>
      </c>
      <c r="B257" s="1" t="s">
        <v>19</v>
      </c>
      <c r="C257" s="1" t="s">
        <v>55</v>
      </c>
      <c r="D257" s="0" t="n">
        <v>2900</v>
      </c>
      <c r="E257" s="0" t="n">
        <v>11970</v>
      </c>
      <c r="F257" s="0" t="n">
        <f aca="false">D257*E257</f>
        <v>34713000</v>
      </c>
      <c r="G257" s="0" t="n">
        <f aca="false">INDEX(마스터!$E:$E,MATCH(C257,마스터!$A:$A,0))</f>
        <v>6040</v>
      </c>
      <c r="H257" s="0" t="n">
        <f aca="false">D257*G257</f>
        <v>17516000</v>
      </c>
    </row>
    <row r="258" customFormat="false" ht="15" hidden="false" customHeight="false" outlineLevel="0" collapsed="false">
      <c r="A258" s="0" t="s">
        <v>87</v>
      </c>
      <c r="B258" s="1" t="s">
        <v>19</v>
      </c>
      <c r="C258" s="1" t="s">
        <v>51</v>
      </c>
      <c r="D258" s="0" t="n">
        <v>2660</v>
      </c>
      <c r="E258" s="0" t="n">
        <v>13270</v>
      </c>
      <c r="F258" s="0" t="n">
        <f aca="false">D258*E258</f>
        <v>35298200</v>
      </c>
      <c r="G258" s="0" t="n">
        <f aca="false">INDEX(마스터!$E:$E,MATCH(C258,마스터!$A:$A,0))</f>
        <v>7480</v>
      </c>
      <c r="H258" s="0" t="n">
        <f aca="false">D258*G258</f>
        <v>19896800</v>
      </c>
    </row>
    <row r="259" customFormat="false" ht="15" hidden="false" customHeight="false" outlineLevel="0" collapsed="false">
      <c r="A259" s="0" t="s">
        <v>87</v>
      </c>
      <c r="B259" s="1" t="s">
        <v>20</v>
      </c>
      <c r="C259" s="1" t="s">
        <v>32</v>
      </c>
      <c r="D259" s="0" t="n">
        <v>2330</v>
      </c>
      <c r="E259" s="0" t="n">
        <v>12170</v>
      </c>
      <c r="F259" s="0" t="n">
        <f aca="false">D259*E259</f>
        <v>28356100</v>
      </c>
      <c r="G259" s="0" t="n">
        <f aca="false">INDEX(마스터!$E:$E,MATCH(C259,마스터!$A:$A,0))</f>
        <v>5790</v>
      </c>
      <c r="H259" s="0" t="n">
        <f aca="false">D259*G259</f>
        <v>13490700</v>
      </c>
    </row>
    <row r="260" customFormat="false" ht="15" hidden="false" customHeight="false" outlineLevel="0" collapsed="false">
      <c r="A260" s="0" t="s">
        <v>87</v>
      </c>
      <c r="B260" s="1" t="s">
        <v>20</v>
      </c>
      <c r="C260" s="1" t="s">
        <v>64</v>
      </c>
      <c r="D260" s="0" t="n">
        <v>2280</v>
      </c>
      <c r="E260" s="0" t="n">
        <v>12890</v>
      </c>
      <c r="F260" s="0" t="n">
        <f aca="false">D260*E260</f>
        <v>29389200</v>
      </c>
      <c r="G260" s="0" t="n">
        <f aca="false">INDEX(마스터!$E:$E,MATCH(C260,마스터!$A:$A,0))</f>
        <v>5890</v>
      </c>
      <c r="H260" s="0" t="n">
        <f aca="false">D260*G260</f>
        <v>13429200</v>
      </c>
    </row>
    <row r="261" customFormat="false" ht="15" hidden="false" customHeight="false" outlineLevel="0" collapsed="false">
      <c r="A261" s="0" t="s">
        <v>87</v>
      </c>
      <c r="B261" s="1" t="s">
        <v>20</v>
      </c>
      <c r="C261" s="1" t="s">
        <v>80</v>
      </c>
      <c r="D261" s="0" t="n">
        <v>2170</v>
      </c>
      <c r="E261" s="0" t="n">
        <v>10030</v>
      </c>
      <c r="F261" s="0" t="n">
        <f aca="false">D261*E261</f>
        <v>21765100</v>
      </c>
      <c r="G261" s="0" t="n">
        <f aca="false">INDEX(마스터!$E:$E,MATCH(C261,마스터!$A:$A,0))</f>
        <v>4690</v>
      </c>
      <c r="H261" s="0" t="n">
        <f aca="false">D261*G261</f>
        <v>10177300</v>
      </c>
    </row>
    <row r="262" customFormat="false" ht="15" hidden="false" customHeight="false" outlineLevel="0" collapsed="false">
      <c r="A262" s="0" t="s">
        <v>87</v>
      </c>
      <c r="B262" s="1" t="s">
        <v>20</v>
      </c>
      <c r="C262" s="1" t="s">
        <v>40</v>
      </c>
      <c r="D262" s="0" t="n">
        <v>2810</v>
      </c>
      <c r="E262" s="0" t="n">
        <v>10030</v>
      </c>
      <c r="F262" s="0" t="n">
        <f aca="false">D262*E262</f>
        <v>28184300</v>
      </c>
      <c r="G262" s="0" t="n">
        <f aca="false">INDEX(마스터!$E:$E,MATCH(C262,마스터!$A:$A,0))</f>
        <v>4740</v>
      </c>
      <c r="H262" s="0" t="n">
        <f aca="false">D262*G262</f>
        <v>13319400</v>
      </c>
    </row>
    <row r="263" customFormat="false" ht="15" hidden="false" customHeight="false" outlineLevel="0" collapsed="false">
      <c r="A263" s="0" t="s">
        <v>87</v>
      </c>
      <c r="B263" s="1" t="s">
        <v>21</v>
      </c>
      <c r="C263" s="1" t="s">
        <v>45</v>
      </c>
      <c r="D263" s="0" t="n">
        <v>3080</v>
      </c>
      <c r="E263" s="0" t="n">
        <v>12960</v>
      </c>
      <c r="F263" s="0" t="n">
        <f aca="false">D263*E263</f>
        <v>39916800</v>
      </c>
      <c r="G263" s="0" t="n">
        <f aca="false">INDEX(마스터!$E:$E,MATCH(C263,마스터!$A:$A,0))</f>
        <v>6110</v>
      </c>
      <c r="H263" s="0" t="n">
        <f aca="false">D263*G263</f>
        <v>18818800</v>
      </c>
    </row>
    <row r="264" customFormat="false" ht="15" hidden="false" customHeight="false" outlineLevel="0" collapsed="false">
      <c r="A264" s="0" t="s">
        <v>87</v>
      </c>
      <c r="B264" s="1" t="s">
        <v>21</v>
      </c>
      <c r="C264" s="1" t="s">
        <v>48</v>
      </c>
      <c r="D264" s="0" t="n">
        <v>3850</v>
      </c>
      <c r="E264" s="0" t="n">
        <v>12960</v>
      </c>
      <c r="F264" s="0" t="n">
        <f aca="false">D264*E264</f>
        <v>49896000</v>
      </c>
      <c r="G264" s="0" t="n">
        <f aca="false">INDEX(마스터!$E:$E,MATCH(C264,마스터!$A:$A,0))</f>
        <v>6440</v>
      </c>
      <c r="H264" s="0" t="n">
        <f aca="false">D264*G264</f>
        <v>24794000</v>
      </c>
    </row>
    <row r="265" customFormat="false" ht="15" hidden="false" customHeight="false" outlineLevel="0" collapsed="false">
      <c r="A265" s="0" t="s">
        <v>87</v>
      </c>
      <c r="B265" s="1" t="s">
        <v>21</v>
      </c>
      <c r="C265" s="1" t="s">
        <v>57</v>
      </c>
      <c r="D265" s="0" t="n">
        <v>2310</v>
      </c>
      <c r="E265" s="0" t="n">
        <v>10510</v>
      </c>
      <c r="F265" s="0" t="n">
        <f aca="false">D265*E265</f>
        <v>24278100</v>
      </c>
      <c r="G265" s="0" t="n">
        <f aca="false">INDEX(마스터!$E:$E,MATCH(C265,마스터!$A:$A,0))</f>
        <v>4870</v>
      </c>
      <c r="H265" s="0" t="n">
        <f aca="false">D265*G265</f>
        <v>11249700</v>
      </c>
    </row>
    <row r="266" customFormat="false" ht="15" hidden="false" customHeight="false" outlineLevel="0" collapsed="false">
      <c r="A266" s="0" t="s">
        <v>87</v>
      </c>
      <c r="B266" s="1" t="s">
        <v>22</v>
      </c>
      <c r="C266" s="1" t="s">
        <v>43</v>
      </c>
      <c r="D266" s="0" t="n">
        <v>3490</v>
      </c>
      <c r="E266" s="0" t="n">
        <v>12640</v>
      </c>
      <c r="F266" s="0" t="n">
        <f aca="false">D266*E266</f>
        <v>44113600</v>
      </c>
      <c r="G266" s="0" t="n">
        <f aca="false">INDEX(마스터!$E:$E,MATCH(C266,마스터!$A:$A,0))</f>
        <v>6350</v>
      </c>
      <c r="H266" s="0" t="n">
        <f aca="false">D266*G266</f>
        <v>22161500</v>
      </c>
    </row>
    <row r="267" customFormat="false" ht="15" hidden="false" customHeight="false" outlineLevel="0" collapsed="false">
      <c r="A267" s="0" t="s">
        <v>87</v>
      </c>
      <c r="B267" s="1" t="s">
        <v>22</v>
      </c>
      <c r="C267" s="1" t="s">
        <v>36</v>
      </c>
      <c r="D267" s="0" t="n">
        <v>4170</v>
      </c>
      <c r="E267" s="0" t="n">
        <v>10180</v>
      </c>
      <c r="F267" s="0" t="n">
        <f aca="false">D267*E267</f>
        <v>42450600</v>
      </c>
      <c r="G267" s="0" t="n">
        <f aca="false">INDEX(마스터!$E:$E,MATCH(C267,마스터!$A:$A,0))</f>
        <v>4540</v>
      </c>
      <c r="H267" s="0" t="n">
        <f aca="false">D267*G267</f>
        <v>18931800</v>
      </c>
    </row>
    <row r="268" customFormat="false" ht="15" hidden="false" customHeight="false" outlineLevel="0" collapsed="false">
      <c r="A268" s="0" t="s">
        <v>87</v>
      </c>
      <c r="B268" s="1" t="s">
        <v>23</v>
      </c>
      <c r="C268" s="1" t="s">
        <v>58</v>
      </c>
      <c r="D268" s="0" t="n">
        <v>3900</v>
      </c>
      <c r="E268" s="0" t="n">
        <v>11880</v>
      </c>
      <c r="F268" s="0" t="n">
        <f aca="false">D268*E268</f>
        <v>46332000</v>
      </c>
      <c r="G268" s="0" t="n">
        <f aca="false">INDEX(마스터!$E:$E,MATCH(C268,마스터!$A:$A,0))</f>
        <v>5720</v>
      </c>
      <c r="H268" s="0" t="n">
        <f aca="false">D268*G268</f>
        <v>22308000</v>
      </c>
    </row>
    <row r="269" customFormat="false" ht="15" hidden="false" customHeight="false" outlineLevel="0" collapsed="false">
      <c r="A269" s="0" t="s">
        <v>87</v>
      </c>
      <c r="B269" s="1" t="s">
        <v>23</v>
      </c>
      <c r="C269" s="1" t="s">
        <v>77</v>
      </c>
      <c r="D269" s="0" t="n">
        <v>2890</v>
      </c>
      <c r="E269" s="0" t="n">
        <v>11880</v>
      </c>
      <c r="F269" s="0" t="n">
        <f aca="false">D269*E269</f>
        <v>34333200</v>
      </c>
      <c r="G269" s="0" t="n">
        <f aca="false">INDEX(마스터!$E:$E,MATCH(C269,마스터!$A:$A,0))</f>
        <v>5380</v>
      </c>
      <c r="H269" s="0" t="n">
        <f aca="false">D269*G269</f>
        <v>15548200</v>
      </c>
    </row>
    <row r="270" customFormat="false" ht="15" hidden="false" customHeight="false" outlineLevel="0" collapsed="false">
      <c r="A270" s="0" t="s">
        <v>87</v>
      </c>
      <c r="B270" s="1" t="s">
        <v>25</v>
      </c>
      <c r="C270" s="1" t="s">
        <v>77</v>
      </c>
      <c r="D270" s="0" t="n">
        <v>3720</v>
      </c>
      <c r="E270" s="0" t="n">
        <v>11900</v>
      </c>
      <c r="F270" s="0" t="n">
        <f aca="false">D270*E270</f>
        <v>44268000</v>
      </c>
      <c r="G270" s="0" t="n">
        <f aca="false">INDEX(마스터!$E:$E,MATCH(C270,마스터!$A:$A,0))</f>
        <v>5380</v>
      </c>
      <c r="H270" s="0" t="n">
        <f aca="false">D270*G270</f>
        <v>20013600</v>
      </c>
    </row>
    <row r="271" customFormat="false" ht="15" hidden="false" customHeight="false" outlineLevel="0" collapsed="false">
      <c r="A271" s="0" t="s">
        <v>87</v>
      </c>
      <c r="B271" s="1" t="s">
        <v>25</v>
      </c>
      <c r="C271" s="1" t="s">
        <v>35</v>
      </c>
      <c r="D271" s="0" t="n">
        <v>1860</v>
      </c>
      <c r="E271" s="0" t="n">
        <v>10500</v>
      </c>
      <c r="F271" s="0" t="n">
        <f aca="false">D271*E271</f>
        <v>19530000</v>
      </c>
      <c r="G271" s="0" t="n">
        <f aca="false">INDEX(마스터!$E:$E,MATCH(C271,마스터!$A:$A,0))</f>
        <v>4920</v>
      </c>
      <c r="H271" s="0" t="n">
        <f aca="false">D271*G271</f>
        <v>9151200</v>
      </c>
    </row>
    <row r="272" customFormat="false" ht="15" hidden="false" customHeight="false" outlineLevel="0" collapsed="false">
      <c r="A272" s="0" t="s">
        <v>87</v>
      </c>
      <c r="B272" s="1" t="s">
        <v>24</v>
      </c>
      <c r="C272" s="1" t="s">
        <v>38</v>
      </c>
      <c r="D272" s="0" t="n">
        <v>1550</v>
      </c>
      <c r="E272" s="0" t="n">
        <v>12250</v>
      </c>
      <c r="F272" s="0" t="n">
        <f aca="false">D272*E272</f>
        <v>18987500</v>
      </c>
      <c r="G272" s="0" t="n">
        <f aca="false">INDEX(마스터!$E:$E,MATCH(C272,마스터!$A:$A,0))</f>
        <v>5670</v>
      </c>
      <c r="H272" s="0" t="n">
        <f aca="false">D272*G272</f>
        <v>8788500</v>
      </c>
    </row>
    <row r="273" customFormat="false" ht="15" hidden="false" customHeight="false" outlineLevel="0" collapsed="false">
      <c r="A273" s="0" t="s">
        <v>87</v>
      </c>
      <c r="B273" s="1" t="s">
        <v>24</v>
      </c>
      <c r="C273" s="1" t="s">
        <v>67</v>
      </c>
      <c r="D273" s="0" t="n">
        <v>2140</v>
      </c>
      <c r="E273" s="0" t="n">
        <v>9800</v>
      </c>
      <c r="F273" s="0" t="n">
        <f aca="false">D273*E273</f>
        <v>20972000</v>
      </c>
      <c r="G273" s="0" t="n">
        <f aca="false">INDEX(마스터!$E:$E,MATCH(C273,마스터!$A:$A,0))</f>
        <v>4360</v>
      </c>
      <c r="H273" s="0" t="n">
        <f aca="false">D273*G273</f>
        <v>9330400</v>
      </c>
    </row>
    <row r="274" customFormat="false" ht="15" hidden="false" customHeight="false" outlineLevel="0" collapsed="false">
      <c r="A274" s="0" t="s">
        <v>89</v>
      </c>
      <c r="B274" s="1" t="s">
        <v>14</v>
      </c>
      <c r="C274" s="1" t="s">
        <v>45</v>
      </c>
      <c r="D274" s="0" t="n">
        <v>5510</v>
      </c>
      <c r="E274" s="0" t="n">
        <v>11920</v>
      </c>
      <c r="F274" s="0" t="n">
        <f aca="false">D274*E274</f>
        <v>65679200</v>
      </c>
      <c r="G274" s="0" t="n">
        <f aca="false">INDEX(마스터!$E:$E,MATCH(C274,마스터!$A:$A,0))</f>
        <v>6110</v>
      </c>
      <c r="H274" s="0" t="n">
        <f aca="false">D274*G274</f>
        <v>33666100</v>
      </c>
    </row>
    <row r="275" customFormat="false" ht="15" hidden="false" customHeight="false" outlineLevel="0" collapsed="false">
      <c r="A275" s="0" t="s">
        <v>89</v>
      </c>
      <c r="B275" s="1" t="s">
        <v>14</v>
      </c>
      <c r="C275" s="1" t="s">
        <v>38</v>
      </c>
      <c r="D275" s="0" t="n">
        <v>4100</v>
      </c>
      <c r="E275" s="0" t="n">
        <v>11280</v>
      </c>
      <c r="F275" s="0" t="n">
        <f aca="false">D275*E275</f>
        <v>46248000</v>
      </c>
      <c r="G275" s="0" t="n">
        <f aca="false">INDEX(마스터!$E:$E,MATCH(C275,마스터!$A:$A,0))</f>
        <v>5670</v>
      </c>
      <c r="H275" s="0" t="n">
        <f aca="false">D275*G275</f>
        <v>23247000</v>
      </c>
    </row>
    <row r="276" customFormat="false" ht="15" hidden="false" customHeight="false" outlineLevel="0" collapsed="false">
      <c r="A276" s="0" t="s">
        <v>89</v>
      </c>
      <c r="B276" s="1" t="s">
        <v>14</v>
      </c>
      <c r="C276" s="1" t="s">
        <v>60</v>
      </c>
      <c r="D276" s="0" t="n">
        <v>6650</v>
      </c>
      <c r="E276" s="0" t="n">
        <v>12570</v>
      </c>
      <c r="F276" s="0" t="n">
        <f aca="false">D276*E276</f>
        <v>83590500</v>
      </c>
      <c r="G276" s="0" t="n">
        <f aca="false">INDEX(마스터!$E:$E,MATCH(C276,마스터!$A:$A,0))</f>
        <v>6980</v>
      </c>
      <c r="H276" s="0" t="n">
        <f aca="false">D276*G276</f>
        <v>46417000</v>
      </c>
    </row>
    <row r="277" customFormat="false" ht="15" hidden="false" customHeight="false" outlineLevel="0" collapsed="false">
      <c r="A277" s="0" t="s">
        <v>89</v>
      </c>
      <c r="B277" s="1" t="s">
        <v>14</v>
      </c>
      <c r="C277" s="1" t="s">
        <v>66</v>
      </c>
      <c r="D277" s="0" t="n">
        <v>6350</v>
      </c>
      <c r="E277" s="0" t="n">
        <v>11920</v>
      </c>
      <c r="F277" s="0" t="n">
        <f aca="false">D277*E277</f>
        <v>75692000</v>
      </c>
      <c r="G277" s="0" t="n">
        <f aca="false">INDEX(마스터!$E:$E,MATCH(C277,마스터!$A:$A,0))</f>
        <v>6360</v>
      </c>
      <c r="H277" s="0" t="n">
        <f aca="false">D277*G277</f>
        <v>40386000</v>
      </c>
    </row>
    <row r="278" customFormat="false" ht="15" hidden="false" customHeight="false" outlineLevel="0" collapsed="false">
      <c r="A278" s="0" t="s">
        <v>89</v>
      </c>
      <c r="B278" s="1" t="s">
        <v>14</v>
      </c>
      <c r="C278" s="1" t="s">
        <v>71</v>
      </c>
      <c r="D278" s="0" t="n">
        <v>3990</v>
      </c>
      <c r="E278" s="0" t="n">
        <v>8380</v>
      </c>
      <c r="F278" s="0" t="n">
        <f aca="false">D278*E278</f>
        <v>33436200</v>
      </c>
      <c r="G278" s="0" t="n">
        <f aca="false">INDEX(마스터!$E:$E,MATCH(C278,마스터!$A:$A,0))</f>
        <v>4330</v>
      </c>
      <c r="H278" s="0" t="n">
        <f aca="false">D278*G278</f>
        <v>17276700</v>
      </c>
    </row>
    <row r="279" customFormat="false" ht="15" hidden="false" customHeight="false" outlineLevel="0" collapsed="false">
      <c r="A279" s="0" t="s">
        <v>89</v>
      </c>
      <c r="B279" s="1" t="s">
        <v>14</v>
      </c>
      <c r="C279" s="1" t="s">
        <v>47</v>
      </c>
      <c r="D279" s="0" t="n">
        <v>16400</v>
      </c>
      <c r="E279" s="0" t="n">
        <v>8380</v>
      </c>
      <c r="F279" s="0" t="n">
        <f aca="false">D279*E279</f>
        <v>137432000</v>
      </c>
      <c r="G279" s="0" t="n">
        <f aca="false">INDEX(마스터!$E:$E,MATCH(C279,마스터!$A:$A,0))</f>
        <v>4170</v>
      </c>
      <c r="H279" s="0" t="n">
        <f aca="false">D279*G279</f>
        <v>68388000</v>
      </c>
    </row>
    <row r="280" customFormat="false" ht="15" hidden="false" customHeight="false" outlineLevel="0" collapsed="false">
      <c r="A280" s="0" t="s">
        <v>89</v>
      </c>
      <c r="B280" s="1" t="s">
        <v>15</v>
      </c>
      <c r="C280" s="1" t="s">
        <v>37</v>
      </c>
      <c r="D280" s="0" t="n">
        <v>6610</v>
      </c>
      <c r="E280" s="0" t="n">
        <v>9760</v>
      </c>
      <c r="F280" s="0" t="n">
        <f aca="false">D280*E280</f>
        <v>64513600</v>
      </c>
      <c r="G280" s="0" t="n">
        <f aca="false">INDEX(마스터!$E:$E,MATCH(C280,마스터!$A:$A,0))</f>
        <v>4900</v>
      </c>
      <c r="H280" s="0" t="n">
        <f aca="false">D280*G280</f>
        <v>32389000</v>
      </c>
    </row>
    <row r="281" customFormat="false" ht="15" hidden="false" customHeight="false" outlineLevel="0" collapsed="false">
      <c r="A281" s="0" t="s">
        <v>89</v>
      </c>
      <c r="B281" s="1" t="s">
        <v>15</v>
      </c>
      <c r="C281" s="1" t="s">
        <v>38</v>
      </c>
      <c r="D281" s="0" t="n">
        <v>3830</v>
      </c>
      <c r="E281" s="0" t="n">
        <v>11390</v>
      </c>
      <c r="F281" s="0" t="n">
        <f aca="false">D281*E281</f>
        <v>43623700</v>
      </c>
      <c r="G281" s="0" t="n">
        <f aca="false">INDEX(마스터!$E:$E,MATCH(C281,마스터!$A:$A,0))</f>
        <v>5670</v>
      </c>
      <c r="H281" s="0" t="n">
        <f aca="false">D281*G281</f>
        <v>21716100</v>
      </c>
    </row>
    <row r="282" customFormat="false" ht="15" hidden="false" customHeight="false" outlineLevel="0" collapsed="false">
      <c r="A282" s="0" t="s">
        <v>89</v>
      </c>
      <c r="B282" s="1" t="s">
        <v>15</v>
      </c>
      <c r="C282" s="1" t="s">
        <v>54</v>
      </c>
      <c r="D282" s="0" t="n">
        <v>4350</v>
      </c>
      <c r="E282" s="0" t="n">
        <v>12370</v>
      </c>
      <c r="F282" s="0" t="n">
        <f aca="false">D282*E282</f>
        <v>53809500</v>
      </c>
      <c r="G282" s="0" t="n">
        <f aca="false">INDEX(마스터!$E:$E,MATCH(C282,마스터!$A:$A,0))</f>
        <v>6790</v>
      </c>
      <c r="H282" s="0" t="n">
        <f aca="false">D282*G282</f>
        <v>29536500</v>
      </c>
    </row>
    <row r="283" customFormat="false" ht="15" hidden="false" customHeight="false" outlineLevel="0" collapsed="false">
      <c r="A283" s="0" t="s">
        <v>89</v>
      </c>
      <c r="B283" s="1" t="s">
        <v>15</v>
      </c>
      <c r="C283" s="1" t="s">
        <v>34</v>
      </c>
      <c r="D283" s="0" t="n">
        <v>6340</v>
      </c>
      <c r="E283" s="0" t="n">
        <v>12040</v>
      </c>
      <c r="F283" s="0" t="n">
        <f aca="false">D283*E283</f>
        <v>76333600</v>
      </c>
      <c r="G283" s="0" t="n">
        <f aca="false">INDEX(마스터!$E:$E,MATCH(C283,마스터!$A:$A,0))</f>
        <v>6630</v>
      </c>
      <c r="H283" s="0" t="n">
        <f aca="false">D283*G283</f>
        <v>42034200</v>
      </c>
    </row>
    <row r="284" customFormat="false" ht="15" hidden="false" customHeight="false" outlineLevel="0" collapsed="false">
      <c r="A284" s="0" t="s">
        <v>89</v>
      </c>
      <c r="B284" s="1" t="s">
        <v>15</v>
      </c>
      <c r="C284" s="1" t="s">
        <v>43</v>
      </c>
      <c r="D284" s="0" t="n">
        <v>3100</v>
      </c>
      <c r="E284" s="0" t="n">
        <v>11720</v>
      </c>
      <c r="F284" s="0" t="n">
        <f aca="false">D284*E284</f>
        <v>36332000</v>
      </c>
      <c r="G284" s="0" t="n">
        <f aca="false">INDEX(마스터!$E:$E,MATCH(C284,마스터!$A:$A,0))</f>
        <v>6350</v>
      </c>
      <c r="H284" s="0" t="n">
        <f aca="false">D284*G284</f>
        <v>19685000</v>
      </c>
    </row>
    <row r="285" customFormat="false" ht="15" hidden="false" customHeight="false" outlineLevel="0" collapsed="false">
      <c r="A285" s="0" t="s">
        <v>89</v>
      </c>
      <c r="B285" s="1" t="s">
        <v>15</v>
      </c>
      <c r="C285" s="1" t="s">
        <v>56</v>
      </c>
      <c r="D285" s="0" t="n">
        <v>3150</v>
      </c>
      <c r="E285" s="0" t="n">
        <v>10090</v>
      </c>
      <c r="F285" s="0" t="n">
        <f aca="false">D285*E285</f>
        <v>31783500</v>
      </c>
      <c r="G285" s="0" t="n">
        <f aca="false">INDEX(마스터!$E:$E,MATCH(C285,마스터!$A:$A,0))</f>
        <v>5470</v>
      </c>
      <c r="H285" s="0" t="n">
        <f aca="false">D285*G285</f>
        <v>17230500</v>
      </c>
    </row>
    <row r="286" customFormat="false" ht="15" hidden="false" customHeight="false" outlineLevel="0" collapsed="false">
      <c r="A286" s="0" t="s">
        <v>89</v>
      </c>
      <c r="B286" s="1" t="s">
        <v>15</v>
      </c>
      <c r="C286" s="1" t="s">
        <v>47</v>
      </c>
      <c r="D286" s="0" t="n">
        <v>10600</v>
      </c>
      <c r="E286" s="0" t="n">
        <v>8460</v>
      </c>
      <c r="F286" s="0" t="n">
        <f aca="false">D286*E286</f>
        <v>89676000</v>
      </c>
      <c r="G286" s="0" t="n">
        <f aca="false">INDEX(마스터!$E:$E,MATCH(C286,마스터!$A:$A,0))</f>
        <v>4170</v>
      </c>
      <c r="H286" s="0" t="n">
        <f aca="false">D286*G286</f>
        <v>44202000</v>
      </c>
    </row>
    <row r="287" customFormat="false" ht="15" hidden="false" customHeight="false" outlineLevel="0" collapsed="false">
      <c r="A287" s="0" t="s">
        <v>89</v>
      </c>
      <c r="B287" s="1" t="s">
        <v>16</v>
      </c>
      <c r="C287" s="1" t="s">
        <v>38</v>
      </c>
      <c r="D287" s="0" t="n">
        <v>3930</v>
      </c>
      <c r="E287" s="0" t="n">
        <v>12450</v>
      </c>
      <c r="F287" s="0" t="n">
        <f aca="false">D287*E287</f>
        <v>48928500</v>
      </c>
      <c r="G287" s="0" t="n">
        <f aca="false">INDEX(마스터!$E:$E,MATCH(C287,마스터!$A:$A,0))</f>
        <v>5670</v>
      </c>
      <c r="H287" s="0" t="n">
        <f aca="false">D287*G287</f>
        <v>22283100</v>
      </c>
    </row>
    <row r="288" customFormat="false" ht="15" hidden="false" customHeight="false" outlineLevel="0" collapsed="false">
      <c r="A288" s="0" t="s">
        <v>89</v>
      </c>
      <c r="B288" s="1" t="s">
        <v>16</v>
      </c>
      <c r="C288" s="1" t="s">
        <v>42</v>
      </c>
      <c r="D288" s="0" t="n">
        <v>4640</v>
      </c>
      <c r="E288" s="0" t="n">
        <v>13520</v>
      </c>
      <c r="F288" s="0" t="n">
        <f aca="false">D288*E288</f>
        <v>62732800</v>
      </c>
      <c r="G288" s="0" t="n">
        <f aca="false">INDEX(마스터!$E:$E,MATCH(C288,마스터!$A:$A,0))</f>
        <v>6730</v>
      </c>
      <c r="H288" s="0" t="n">
        <f aca="false">D288*G288</f>
        <v>31227200</v>
      </c>
    </row>
    <row r="289" customFormat="false" ht="15" hidden="false" customHeight="false" outlineLevel="0" collapsed="false">
      <c r="A289" s="0" t="s">
        <v>89</v>
      </c>
      <c r="B289" s="1" t="s">
        <v>16</v>
      </c>
      <c r="C289" s="1" t="s">
        <v>72</v>
      </c>
      <c r="D289" s="0" t="n">
        <v>4770</v>
      </c>
      <c r="E289" s="0" t="n">
        <v>12450</v>
      </c>
      <c r="F289" s="0" t="n">
        <f aca="false">D289*E289</f>
        <v>59386500</v>
      </c>
      <c r="G289" s="0" t="n">
        <f aca="false">INDEX(마스터!$E:$E,MATCH(C289,마스터!$A:$A,0))</f>
        <v>5920</v>
      </c>
      <c r="H289" s="0" t="n">
        <f aca="false">D289*G289</f>
        <v>28238400</v>
      </c>
    </row>
    <row r="290" customFormat="false" ht="15" hidden="false" customHeight="false" outlineLevel="0" collapsed="false">
      <c r="A290" s="0" t="s">
        <v>89</v>
      </c>
      <c r="B290" s="1" t="s">
        <v>16</v>
      </c>
      <c r="C290" s="1" t="s">
        <v>44</v>
      </c>
      <c r="D290" s="0" t="n">
        <v>3580</v>
      </c>
      <c r="E290" s="0" t="n">
        <v>12100</v>
      </c>
      <c r="F290" s="0" t="n">
        <f aca="false">D290*E290</f>
        <v>43318000</v>
      </c>
      <c r="G290" s="0" t="n">
        <f aca="false">INDEX(마스터!$E:$E,MATCH(C290,마스터!$A:$A,0))</f>
        <v>5500</v>
      </c>
      <c r="H290" s="0" t="n">
        <f aca="false">D290*G290</f>
        <v>19690000</v>
      </c>
    </row>
    <row r="291" customFormat="false" ht="15" hidden="false" customHeight="false" outlineLevel="0" collapsed="false">
      <c r="A291" s="0" t="s">
        <v>89</v>
      </c>
      <c r="B291" s="1" t="s">
        <v>16</v>
      </c>
      <c r="C291" s="1" t="s">
        <v>68</v>
      </c>
      <c r="D291" s="0" t="n">
        <v>4560</v>
      </c>
      <c r="E291" s="0" t="n">
        <v>10670</v>
      </c>
      <c r="F291" s="0" t="n">
        <f aca="false">D291*E291</f>
        <v>48655200</v>
      </c>
      <c r="G291" s="0" t="n">
        <f aca="false">INDEX(마스터!$E:$E,MATCH(C291,마스터!$A:$A,0))</f>
        <v>4880</v>
      </c>
      <c r="H291" s="0" t="n">
        <f aca="false">D291*G291</f>
        <v>22252800</v>
      </c>
    </row>
    <row r="292" customFormat="false" ht="15" hidden="false" customHeight="false" outlineLevel="0" collapsed="false">
      <c r="A292" s="0" t="s">
        <v>89</v>
      </c>
      <c r="B292" s="1" t="s">
        <v>16</v>
      </c>
      <c r="C292" s="1" t="s">
        <v>47</v>
      </c>
      <c r="D292" s="0" t="n">
        <v>6940</v>
      </c>
      <c r="E292" s="0" t="n">
        <v>9250</v>
      </c>
      <c r="F292" s="0" t="n">
        <f aca="false">D292*E292</f>
        <v>64195000</v>
      </c>
      <c r="G292" s="0" t="n">
        <f aca="false">INDEX(마스터!$E:$E,MATCH(C292,마스터!$A:$A,0))</f>
        <v>4170</v>
      </c>
      <c r="H292" s="0" t="n">
        <f aca="false">D292*G292</f>
        <v>28939800</v>
      </c>
    </row>
    <row r="293" customFormat="false" ht="15" hidden="false" customHeight="false" outlineLevel="0" collapsed="false">
      <c r="A293" s="0" t="s">
        <v>89</v>
      </c>
      <c r="B293" s="1" t="s">
        <v>17</v>
      </c>
      <c r="C293" s="1" t="s">
        <v>45</v>
      </c>
      <c r="D293" s="0" t="n">
        <v>4340</v>
      </c>
      <c r="E293" s="0" t="n">
        <v>11930</v>
      </c>
      <c r="F293" s="0" t="n">
        <f aca="false">D293*E293</f>
        <v>51776200</v>
      </c>
      <c r="G293" s="0" t="n">
        <f aca="false">INDEX(마스터!$E:$E,MATCH(C293,마스터!$A:$A,0))</f>
        <v>6110</v>
      </c>
      <c r="H293" s="0" t="n">
        <f aca="false">D293*G293</f>
        <v>26517400</v>
      </c>
    </row>
    <row r="294" customFormat="false" ht="15" hidden="false" customHeight="false" outlineLevel="0" collapsed="false">
      <c r="A294" s="0" t="s">
        <v>89</v>
      </c>
      <c r="B294" s="1" t="s">
        <v>17</v>
      </c>
      <c r="C294" s="1" t="s">
        <v>61</v>
      </c>
      <c r="D294" s="0" t="n">
        <v>4100</v>
      </c>
      <c r="E294" s="0" t="n">
        <v>10000</v>
      </c>
      <c r="F294" s="0" t="n">
        <f aca="false">D294*E294</f>
        <v>41000000</v>
      </c>
      <c r="G294" s="0" t="n">
        <f aca="false">INDEX(마스터!$E:$E,MATCH(C294,마스터!$A:$A,0))</f>
        <v>5390</v>
      </c>
      <c r="H294" s="0" t="n">
        <f aca="false">D294*G294</f>
        <v>22099000</v>
      </c>
    </row>
    <row r="295" customFormat="false" ht="15" hidden="false" customHeight="false" outlineLevel="0" collapsed="false">
      <c r="A295" s="0" t="s">
        <v>89</v>
      </c>
      <c r="B295" s="1" t="s">
        <v>17</v>
      </c>
      <c r="C295" s="1" t="s">
        <v>38</v>
      </c>
      <c r="D295" s="0" t="n">
        <v>2300</v>
      </c>
      <c r="E295" s="0" t="n">
        <v>11290</v>
      </c>
      <c r="F295" s="0" t="n">
        <f aca="false">D295*E295</f>
        <v>25967000</v>
      </c>
      <c r="G295" s="0" t="n">
        <f aca="false">INDEX(마스터!$E:$E,MATCH(C295,마스터!$A:$A,0))</f>
        <v>5670</v>
      </c>
      <c r="H295" s="0" t="n">
        <f aca="false">D295*G295</f>
        <v>13041000</v>
      </c>
    </row>
    <row r="296" customFormat="false" ht="15" hidden="false" customHeight="false" outlineLevel="0" collapsed="false">
      <c r="A296" s="0" t="s">
        <v>89</v>
      </c>
      <c r="B296" s="1" t="s">
        <v>17</v>
      </c>
      <c r="C296" s="1" t="s">
        <v>90</v>
      </c>
      <c r="D296" s="0" t="n">
        <v>2930</v>
      </c>
      <c r="E296" s="0" t="n">
        <v>10640</v>
      </c>
      <c r="F296" s="0" t="n">
        <f aca="false">D296*E296</f>
        <v>31175200</v>
      </c>
      <c r="G296" s="0" t="n">
        <f aca="false">INDEX(마스터!$E:$E,MATCH(C296,마스터!$A:$A,0))</f>
        <v>5290</v>
      </c>
      <c r="H296" s="0" t="n">
        <f aca="false">D296*G296</f>
        <v>15499700</v>
      </c>
    </row>
    <row r="297" customFormat="false" ht="15" hidden="false" customHeight="false" outlineLevel="0" collapsed="false">
      <c r="A297" s="0" t="s">
        <v>89</v>
      </c>
      <c r="B297" s="1" t="s">
        <v>17</v>
      </c>
      <c r="C297" s="1" t="s">
        <v>68</v>
      </c>
      <c r="D297" s="0" t="n">
        <v>3500</v>
      </c>
      <c r="E297" s="0" t="n">
        <v>9680</v>
      </c>
      <c r="F297" s="0" t="n">
        <f aca="false">D297*E297</f>
        <v>33880000</v>
      </c>
      <c r="G297" s="0" t="n">
        <f aca="false">INDEX(마스터!$E:$E,MATCH(C297,마스터!$A:$A,0))</f>
        <v>4880</v>
      </c>
      <c r="H297" s="0" t="n">
        <f aca="false">D297*G297</f>
        <v>17080000</v>
      </c>
    </row>
    <row r="298" customFormat="false" ht="15" hidden="false" customHeight="false" outlineLevel="0" collapsed="false">
      <c r="A298" s="0" t="s">
        <v>89</v>
      </c>
      <c r="B298" s="1" t="s">
        <v>17</v>
      </c>
      <c r="C298" s="1" t="s">
        <v>47</v>
      </c>
      <c r="D298" s="0" t="n">
        <v>7400</v>
      </c>
      <c r="E298" s="0" t="n">
        <v>8390</v>
      </c>
      <c r="F298" s="0" t="n">
        <f aca="false">D298*E298</f>
        <v>62086000</v>
      </c>
      <c r="G298" s="0" t="n">
        <f aca="false">INDEX(마스터!$E:$E,MATCH(C298,마스터!$A:$A,0))</f>
        <v>4170</v>
      </c>
      <c r="H298" s="0" t="n">
        <f aca="false">D298*G298</f>
        <v>30858000</v>
      </c>
    </row>
    <row r="299" customFormat="false" ht="15" hidden="false" customHeight="false" outlineLevel="0" collapsed="false">
      <c r="A299" s="0" t="s">
        <v>89</v>
      </c>
      <c r="B299" s="1" t="s">
        <v>18</v>
      </c>
      <c r="C299" s="1" t="s">
        <v>58</v>
      </c>
      <c r="D299" s="0" t="n">
        <v>4990</v>
      </c>
      <c r="E299" s="0" t="n">
        <v>12080</v>
      </c>
      <c r="F299" s="0" t="n">
        <f aca="false">D299*E299</f>
        <v>60279200</v>
      </c>
      <c r="G299" s="0" t="n">
        <f aca="false">INDEX(마스터!$E:$E,MATCH(C299,마스터!$A:$A,0))</f>
        <v>5720</v>
      </c>
      <c r="H299" s="0" t="n">
        <f aca="false">D299*G299</f>
        <v>28542800</v>
      </c>
    </row>
    <row r="300" customFormat="false" ht="15" hidden="false" customHeight="false" outlineLevel="0" collapsed="false">
      <c r="A300" s="0" t="s">
        <v>89</v>
      </c>
      <c r="B300" s="1" t="s">
        <v>18</v>
      </c>
      <c r="C300" s="1" t="s">
        <v>33</v>
      </c>
      <c r="D300" s="0" t="n">
        <v>5550</v>
      </c>
      <c r="E300" s="0" t="n">
        <v>13500</v>
      </c>
      <c r="F300" s="0" t="n">
        <f aca="false">D300*E300</f>
        <v>74925000</v>
      </c>
      <c r="G300" s="0" t="n">
        <f aca="false">INDEX(마스터!$E:$E,MATCH(C300,마스터!$A:$A,0))</f>
        <v>6790</v>
      </c>
      <c r="H300" s="0" t="n">
        <f aca="false">D300*G300</f>
        <v>37684500</v>
      </c>
    </row>
    <row r="301" customFormat="false" ht="15" hidden="false" customHeight="false" outlineLevel="0" collapsed="false">
      <c r="A301" s="0" t="s">
        <v>89</v>
      </c>
      <c r="B301" s="1" t="s">
        <v>18</v>
      </c>
      <c r="C301" s="1" t="s">
        <v>54</v>
      </c>
      <c r="D301" s="0" t="n">
        <v>2960</v>
      </c>
      <c r="E301" s="0" t="n">
        <v>13500</v>
      </c>
      <c r="F301" s="0" t="n">
        <f aca="false">D301*E301</f>
        <v>39960000</v>
      </c>
      <c r="G301" s="0" t="n">
        <f aca="false">INDEX(마스터!$E:$E,MATCH(C301,마스터!$A:$A,0))</f>
        <v>6790</v>
      </c>
      <c r="H301" s="0" t="n">
        <f aca="false">D301*G301</f>
        <v>20098400</v>
      </c>
    </row>
    <row r="302" customFormat="false" ht="15" hidden="false" customHeight="false" outlineLevel="0" collapsed="false">
      <c r="A302" s="0" t="s">
        <v>89</v>
      </c>
      <c r="B302" s="1" t="s">
        <v>18</v>
      </c>
      <c r="C302" s="1" t="s">
        <v>72</v>
      </c>
      <c r="D302" s="0" t="n">
        <v>6310</v>
      </c>
      <c r="E302" s="0" t="n">
        <v>12440</v>
      </c>
      <c r="F302" s="0" t="n">
        <f aca="false">D302*E302</f>
        <v>78496400</v>
      </c>
      <c r="G302" s="0" t="n">
        <f aca="false">INDEX(마스터!$E:$E,MATCH(C302,마스터!$A:$A,0))</f>
        <v>5920</v>
      </c>
      <c r="H302" s="0" t="n">
        <f aca="false">D302*G302</f>
        <v>37355200</v>
      </c>
    </row>
    <row r="303" customFormat="false" ht="15" hidden="false" customHeight="false" outlineLevel="0" collapsed="false">
      <c r="A303" s="0" t="s">
        <v>89</v>
      </c>
      <c r="B303" s="1" t="s">
        <v>19</v>
      </c>
      <c r="C303" s="1" t="s">
        <v>60</v>
      </c>
      <c r="D303" s="0" t="n">
        <v>3360</v>
      </c>
      <c r="E303" s="0" t="n">
        <v>12660</v>
      </c>
      <c r="F303" s="0" t="n">
        <f aca="false">D303*E303</f>
        <v>42537600</v>
      </c>
      <c r="G303" s="0" t="n">
        <f aca="false">INDEX(마스터!$E:$E,MATCH(C303,마스터!$A:$A,0))</f>
        <v>6980</v>
      </c>
      <c r="H303" s="0" t="n">
        <f aca="false">D303*G303</f>
        <v>23452800</v>
      </c>
    </row>
    <row r="304" customFormat="false" ht="15" hidden="false" customHeight="false" outlineLevel="0" collapsed="false">
      <c r="A304" s="0" t="s">
        <v>89</v>
      </c>
      <c r="B304" s="1" t="s">
        <v>19</v>
      </c>
      <c r="C304" s="1" t="s">
        <v>54</v>
      </c>
      <c r="D304" s="0" t="n">
        <v>2540</v>
      </c>
      <c r="E304" s="0" t="n">
        <v>12340</v>
      </c>
      <c r="F304" s="0" t="n">
        <f aca="false">D304*E304</f>
        <v>31343600</v>
      </c>
      <c r="G304" s="0" t="n">
        <f aca="false">INDEX(마스터!$E:$E,MATCH(C304,마스터!$A:$A,0))</f>
        <v>6790</v>
      </c>
      <c r="H304" s="0" t="n">
        <f aca="false">D304*G304</f>
        <v>17246600</v>
      </c>
    </row>
    <row r="305" customFormat="false" ht="15" hidden="false" customHeight="false" outlineLevel="0" collapsed="false">
      <c r="A305" s="0" t="s">
        <v>89</v>
      </c>
      <c r="B305" s="1" t="s">
        <v>19</v>
      </c>
      <c r="C305" s="1" t="s">
        <v>42</v>
      </c>
      <c r="D305" s="0" t="n">
        <v>4760</v>
      </c>
      <c r="E305" s="0" t="n">
        <v>12340</v>
      </c>
      <c r="F305" s="0" t="n">
        <f aca="false">D305*E305</f>
        <v>58738400</v>
      </c>
      <c r="G305" s="0" t="n">
        <f aca="false">INDEX(마스터!$E:$E,MATCH(C305,마스터!$A:$A,0))</f>
        <v>6730</v>
      </c>
      <c r="H305" s="0" t="n">
        <f aca="false">D305*G305</f>
        <v>32034800</v>
      </c>
    </row>
    <row r="306" customFormat="false" ht="15" hidden="false" customHeight="false" outlineLevel="0" collapsed="false">
      <c r="A306" s="0" t="s">
        <v>89</v>
      </c>
      <c r="B306" s="1" t="s">
        <v>19</v>
      </c>
      <c r="C306" s="1" t="s">
        <v>66</v>
      </c>
      <c r="D306" s="0" t="n">
        <v>3450</v>
      </c>
      <c r="E306" s="0" t="n">
        <v>12010</v>
      </c>
      <c r="F306" s="0" t="n">
        <f aca="false">D306*E306</f>
        <v>41434500</v>
      </c>
      <c r="G306" s="0" t="n">
        <f aca="false">INDEX(마스터!$E:$E,MATCH(C306,마스터!$A:$A,0))</f>
        <v>6360</v>
      </c>
      <c r="H306" s="0" t="n">
        <f aca="false">D306*G306</f>
        <v>21942000</v>
      </c>
    </row>
    <row r="307" customFormat="false" ht="15" hidden="false" customHeight="false" outlineLevel="0" collapsed="false">
      <c r="A307" s="0" t="s">
        <v>89</v>
      </c>
      <c r="B307" s="1" t="s">
        <v>19</v>
      </c>
      <c r="C307" s="1" t="s">
        <v>90</v>
      </c>
      <c r="D307" s="0" t="n">
        <v>2680</v>
      </c>
      <c r="E307" s="0" t="n">
        <v>10710</v>
      </c>
      <c r="F307" s="0" t="n">
        <f aca="false">D307*E307</f>
        <v>28702800</v>
      </c>
      <c r="G307" s="0" t="n">
        <f aca="false">INDEX(마스터!$E:$E,MATCH(C307,마스터!$A:$A,0))</f>
        <v>5290</v>
      </c>
      <c r="H307" s="0" t="n">
        <f aca="false">D307*G307</f>
        <v>14177200</v>
      </c>
    </row>
    <row r="308" customFormat="false" ht="15" hidden="false" customHeight="false" outlineLevel="0" collapsed="false">
      <c r="A308" s="0" t="s">
        <v>89</v>
      </c>
      <c r="B308" s="1" t="s">
        <v>20</v>
      </c>
      <c r="C308" s="1" t="s">
        <v>59</v>
      </c>
      <c r="D308" s="0" t="n">
        <v>4130</v>
      </c>
      <c r="E308" s="0" t="n">
        <v>14290</v>
      </c>
      <c r="F308" s="0" t="n">
        <f aca="false">D308*E308</f>
        <v>59017700</v>
      </c>
      <c r="G308" s="0" t="n">
        <f aca="false">INDEX(마스터!$E:$E,MATCH(C308,마스터!$A:$A,0))</f>
        <v>6520</v>
      </c>
      <c r="H308" s="0" t="n">
        <f aca="false">D308*G308</f>
        <v>26927600</v>
      </c>
    </row>
    <row r="309" customFormat="false" ht="15" hidden="false" customHeight="false" outlineLevel="0" collapsed="false">
      <c r="A309" s="0" t="s">
        <v>89</v>
      </c>
      <c r="B309" s="1" t="s">
        <v>20</v>
      </c>
      <c r="C309" s="1" t="s">
        <v>48</v>
      </c>
      <c r="D309" s="0" t="n">
        <v>3400</v>
      </c>
      <c r="E309" s="0" t="n">
        <v>13220</v>
      </c>
      <c r="F309" s="0" t="n">
        <f aca="false">D309*E309</f>
        <v>44948000</v>
      </c>
      <c r="G309" s="0" t="n">
        <f aca="false">INDEX(마스터!$E:$E,MATCH(C309,마스터!$A:$A,0))</f>
        <v>6440</v>
      </c>
      <c r="H309" s="0" t="n">
        <f aca="false">D309*G309</f>
        <v>21896000</v>
      </c>
    </row>
    <row r="310" customFormat="false" ht="15" hidden="false" customHeight="false" outlineLevel="0" collapsed="false">
      <c r="A310" s="0" t="s">
        <v>89</v>
      </c>
      <c r="B310" s="1" t="s">
        <v>20</v>
      </c>
      <c r="C310" s="1" t="s">
        <v>43</v>
      </c>
      <c r="D310" s="0" t="n">
        <v>1960</v>
      </c>
      <c r="E310" s="0" t="n">
        <v>12860</v>
      </c>
      <c r="F310" s="0" t="n">
        <f aca="false">D310*E310</f>
        <v>25205600</v>
      </c>
      <c r="G310" s="0" t="n">
        <f aca="false">INDEX(마스터!$E:$E,MATCH(C310,마스터!$A:$A,0))</f>
        <v>6350</v>
      </c>
      <c r="H310" s="0" t="n">
        <f aca="false">D310*G310</f>
        <v>12446000</v>
      </c>
    </row>
    <row r="311" customFormat="false" ht="15" hidden="false" customHeight="false" outlineLevel="0" collapsed="false">
      <c r="A311" s="0" t="s">
        <v>89</v>
      </c>
      <c r="B311" s="1" t="s">
        <v>20</v>
      </c>
      <c r="C311" s="1" t="s">
        <v>80</v>
      </c>
      <c r="D311" s="0" t="n">
        <v>2350</v>
      </c>
      <c r="E311" s="0" t="n">
        <v>10000</v>
      </c>
      <c r="F311" s="0" t="n">
        <f aca="false">D311*E311</f>
        <v>23500000</v>
      </c>
      <c r="G311" s="0" t="n">
        <f aca="false">INDEX(마스터!$E:$E,MATCH(C311,마스터!$A:$A,0))</f>
        <v>4690</v>
      </c>
      <c r="H311" s="0" t="n">
        <f aca="false">D311*G311</f>
        <v>11021500</v>
      </c>
    </row>
    <row r="312" customFormat="false" ht="15" hidden="false" customHeight="false" outlineLevel="0" collapsed="false">
      <c r="A312" s="0" t="s">
        <v>89</v>
      </c>
      <c r="B312" s="1" t="s">
        <v>21</v>
      </c>
      <c r="C312" s="1" t="s">
        <v>37</v>
      </c>
      <c r="D312" s="0" t="n">
        <v>3870</v>
      </c>
      <c r="E312" s="0" t="n">
        <v>10510</v>
      </c>
      <c r="F312" s="0" t="n">
        <f aca="false">D312*E312</f>
        <v>40673700</v>
      </c>
      <c r="G312" s="0" t="n">
        <f aca="false">INDEX(마스터!$E:$E,MATCH(C312,마스터!$A:$A,0))</f>
        <v>4900</v>
      </c>
      <c r="H312" s="0" t="n">
        <f aca="false">D312*G312</f>
        <v>18963000</v>
      </c>
    </row>
    <row r="313" customFormat="false" ht="15" hidden="false" customHeight="false" outlineLevel="0" collapsed="false">
      <c r="A313" s="0" t="s">
        <v>89</v>
      </c>
      <c r="B313" s="1" t="s">
        <v>21</v>
      </c>
      <c r="C313" s="1" t="s">
        <v>54</v>
      </c>
      <c r="D313" s="0" t="n">
        <v>3060</v>
      </c>
      <c r="E313" s="0" t="n">
        <v>13310</v>
      </c>
      <c r="F313" s="0" t="n">
        <f aca="false">D313*E313</f>
        <v>40728600</v>
      </c>
      <c r="G313" s="0" t="n">
        <f aca="false">INDEX(마스터!$E:$E,MATCH(C313,마스터!$A:$A,0))</f>
        <v>6790</v>
      </c>
      <c r="H313" s="0" t="n">
        <f aca="false">D313*G313</f>
        <v>20777400</v>
      </c>
    </row>
    <row r="314" customFormat="false" ht="15" hidden="false" customHeight="false" outlineLevel="0" collapsed="false">
      <c r="A314" s="0" t="s">
        <v>89</v>
      </c>
      <c r="B314" s="1" t="s">
        <v>21</v>
      </c>
      <c r="C314" s="1" t="s">
        <v>48</v>
      </c>
      <c r="D314" s="0" t="n">
        <v>4480</v>
      </c>
      <c r="E314" s="0" t="n">
        <v>12960</v>
      </c>
      <c r="F314" s="0" t="n">
        <f aca="false">D314*E314</f>
        <v>58060800</v>
      </c>
      <c r="G314" s="0" t="n">
        <f aca="false">INDEX(마스터!$E:$E,MATCH(C314,마스터!$A:$A,0))</f>
        <v>6440</v>
      </c>
      <c r="H314" s="0" t="n">
        <f aca="false">D314*G314</f>
        <v>28851200</v>
      </c>
    </row>
    <row r="315" customFormat="false" ht="15" hidden="false" customHeight="false" outlineLevel="0" collapsed="false">
      <c r="A315" s="0" t="s">
        <v>89</v>
      </c>
      <c r="B315" s="1" t="s">
        <v>22</v>
      </c>
      <c r="C315" s="1" t="s">
        <v>72</v>
      </c>
      <c r="D315" s="0" t="n">
        <v>4950</v>
      </c>
      <c r="E315" s="0" t="n">
        <v>12290</v>
      </c>
      <c r="F315" s="0" t="n">
        <f aca="false">D315*E315</f>
        <v>60835500</v>
      </c>
      <c r="G315" s="0" t="n">
        <f aca="false">INDEX(마스터!$E:$E,MATCH(C315,마스터!$A:$A,0))</f>
        <v>5920</v>
      </c>
      <c r="H315" s="0" t="n">
        <f aca="false">D315*G315</f>
        <v>29304000</v>
      </c>
    </row>
    <row r="316" customFormat="false" ht="15" hidden="false" customHeight="false" outlineLevel="0" collapsed="false">
      <c r="A316" s="0" t="s">
        <v>89</v>
      </c>
      <c r="B316" s="1" t="s">
        <v>22</v>
      </c>
      <c r="C316" s="1" t="s">
        <v>36</v>
      </c>
      <c r="D316" s="0" t="n">
        <v>4520</v>
      </c>
      <c r="E316" s="0" t="n">
        <v>10180</v>
      </c>
      <c r="F316" s="0" t="n">
        <f aca="false">D316*E316</f>
        <v>46013600</v>
      </c>
      <c r="G316" s="0" t="n">
        <f aca="false">INDEX(마스터!$E:$E,MATCH(C316,마스터!$A:$A,0))</f>
        <v>4540</v>
      </c>
      <c r="H316" s="0" t="n">
        <f aca="false">D316*G316</f>
        <v>20520800</v>
      </c>
    </row>
    <row r="317" customFormat="false" ht="15" hidden="false" customHeight="false" outlineLevel="0" collapsed="false">
      <c r="A317" s="0" t="s">
        <v>89</v>
      </c>
      <c r="B317" s="1" t="s">
        <v>23</v>
      </c>
      <c r="C317" s="1" t="s">
        <v>86</v>
      </c>
      <c r="D317" s="0" t="n">
        <v>4270</v>
      </c>
      <c r="E317" s="0" t="n">
        <v>12930</v>
      </c>
      <c r="F317" s="0" t="n">
        <f aca="false">D317*E317</f>
        <v>55211100</v>
      </c>
      <c r="G317" s="0" t="n">
        <f aca="false">INDEX(마스터!$E:$E,MATCH(C317,마스터!$A:$A,0))</f>
        <v>6430</v>
      </c>
      <c r="H317" s="0" t="n">
        <f aca="false">D317*G317</f>
        <v>27456100</v>
      </c>
    </row>
    <row r="318" customFormat="false" ht="15" hidden="false" customHeight="false" outlineLevel="0" collapsed="false">
      <c r="A318" s="0" t="s">
        <v>89</v>
      </c>
      <c r="B318" s="1" t="s">
        <v>23</v>
      </c>
      <c r="C318" s="1" t="s">
        <v>66</v>
      </c>
      <c r="D318" s="0" t="n">
        <v>4120</v>
      </c>
      <c r="E318" s="0" t="n">
        <v>12930</v>
      </c>
      <c r="F318" s="0" t="n">
        <f aca="false">D318*E318</f>
        <v>53271600</v>
      </c>
      <c r="G318" s="0" t="n">
        <f aca="false">INDEX(마스터!$E:$E,MATCH(C318,마스터!$A:$A,0))</f>
        <v>6360</v>
      </c>
      <c r="H318" s="0" t="n">
        <f aca="false">D318*G318</f>
        <v>26203200</v>
      </c>
    </row>
    <row r="319" customFormat="false" ht="15" hidden="false" customHeight="false" outlineLevel="0" collapsed="false">
      <c r="A319" s="0" t="s">
        <v>89</v>
      </c>
      <c r="B319" s="1" t="s">
        <v>25</v>
      </c>
      <c r="C319" s="1" t="s">
        <v>37</v>
      </c>
      <c r="D319" s="0" t="n">
        <v>3620</v>
      </c>
      <c r="E319" s="0" t="n">
        <v>10490</v>
      </c>
      <c r="F319" s="0" t="n">
        <f aca="false">D319*E319</f>
        <v>37973800</v>
      </c>
      <c r="G319" s="0" t="n">
        <f aca="false">INDEX(마스터!$E:$E,MATCH(C319,마스터!$A:$A,0))</f>
        <v>4900</v>
      </c>
      <c r="H319" s="0" t="n">
        <f aca="false">D319*G319</f>
        <v>17738000</v>
      </c>
    </row>
    <row r="320" customFormat="false" ht="15" hidden="false" customHeight="false" outlineLevel="0" collapsed="false">
      <c r="A320" s="0" t="s">
        <v>89</v>
      </c>
      <c r="B320" s="1" t="s">
        <v>25</v>
      </c>
      <c r="C320" s="1" t="s">
        <v>57</v>
      </c>
      <c r="D320" s="0" t="n">
        <v>3260</v>
      </c>
      <c r="E320" s="0" t="n">
        <v>10490</v>
      </c>
      <c r="F320" s="0" t="n">
        <f aca="false">D320*E320</f>
        <v>34197400</v>
      </c>
      <c r="G320" s="0" t="n">
        <f aca="false">INDEX(마스터!$E:$E,MATCH(C320,마스터!$A:$A,0))</f>
        <v>4870</v>
      </c>
      <c r="H320" s="0" t="n">
        <f aca="false">D320*G320</f>
        <v>15876200</v>
      </c>
    </row>
    <row r="321" customFormat="false" ht="15" hidden="false" customHeight="false" outlineLevel="0" collapsed="false">
      <c r="A321" s="0" t="s">
        <v>89</v>
      </c>
      <c r="B321" s="1" t="s">
        <v>24</v>
      </c>
      <c r="C321" s="1" t="s">
        <v>60</v>
      </c>
      <c r="D321" s="0" t="n">
        <v>4140</v>
      </c>
      <c r="E321" s="0" t="n">
        <v>13640</v>
      </c>
      <c r="F321" s="0" t="n">
        <f aca="false">D321*E321</f>
        <v>56469600</v>
      </c>
      <c r="G321" s="0" t="n">
        <f aca="false">INDEX(마스터!$E:$E,MATCH(C321,마스터!$A:$A,0))</f>
        <v>6980</v>
      </c>
      <c r="H321" s="0" t="n">
        <f aca="false">D321*G321</f>
        <v>28897200</v>
      </c>
    </row>
    <row r="322" customFormat="false" ht="15" hidden="false" customHeight="false" outlineLevel="0" collapsed="false">
      <c r="A322" s="0" t="s">
        <v>89</v>
      </c>
      <c r="B322" s="1" t="s">
        <v>24</v>
      </c>
      <c r="C322" s="1" t="s">
        <v>90</v>
      </c>
      <c r="D322" s="0" t="n">
        <v>2740</v>
      </c>
      <c r="E322" s="0" t="n">
        <v>11540</v>
      </c>
      <c r="F322" s="0" t="n">
        <f aca="false">D322*E322</f>
        <v>31619600</v>
      </c>
      <c r="G322" s="0" t="n">
        <f aca="false">INDEX(마스터!$E:$E,MATCH(C322,마스터!$A:$A,0))</f>
        <v>5290</v>
      </c>
      <c r="H322" s="0" t="n">
        <f aca="false">D322*G322</f>
        <v>14494600</v>
      </c>
    </row>
    <row r="323" customFormat="false" ht="15" hidden="false" customHeight="false" outlineLevel="0" collapsed="false">
      <c r="A323" s="0" t="s">
        <v>91</v>
      </c>
      <c r="B323" s="1" t="s">
        <v>14</v>
      </c>
      <c r="C323" s="1" t="s">
        <v>79</v>
      </c>
      <c r="D323" s="0" t="n">
        <v>4360</v>
      </c>
      <c r="E323" s="0" t="n">
        <v>10970</v>
      </c>
      <c r="F323" s="0" t="n">
        <f aca="false">D323*E323</f>
        <v>47829200</v>
      </c>
      <c r="G323" s="0" t="n">
        <f aca="false">INDEX(마스터!$E:$E,MATCH(C323,마스터!$A:$A,0))</f>
        <v>5990</v>
      </c>
      <c r="H323" s="0" t="n">
        <f aca="false">D323*G323</f>
        <v>26116400</v>
      </c>
    </row>
    <row r="324" customFormat="false" ht="15" hidden="false" customHeight="false" outlineLevel="0" collapsed="false">
      <c r="A324" s="0" t="s">
        <v>91</v>
      </c>
      <c r="B324" s="1" t="s">
        <v>14</v>
      </c>
      <c r="C324" s="1" t="s">
        <v>45</v>
      </c>
      <c r="D324" s="0" t="n">
        <v>9210</v>
      </c>
      <c r="E324" s="0" t="n">
        <v>11940</v>
      </c>
      <c r="F324" s="0" t="n">
        <f aca="false">D324*E324</f>
        <v>109967400</v>
      </c>
      <c r="G324" s="0" t="n">
        <f aca="false">INDEX(마스터!$E:$E,MATCH(C324,마스터!$A:$A,0))</f>
        <v>6110</v>
      </c>
      <c r="H324" s="0" t="n">
        <f aca="false">D324*G324</f>
        <v>56273100</v>
      </c>
    </row>
    <row r="325" customFormat="false" ht="15" hidden="false" customHeight="false" outlineLevel="0" collapsed="false">
      <c r="A325" s="0" t="s">
        <v>91</v>
      </c>
      <c r="B325" s="1" t="s">
        <v>14</v>
      </c>
      <c r="C325" s="1" t="s">
        <v>38</v>
      </c>
      <c r="D325" s="0" t="n">
        <v>5970</v>
      </c>
      <c r="E325" s="0" t="n">
        <v>11290</v>
      </c>
      <c r="F325" s="0" t="n">
        <f aca="false">D325*E325</f>
        <v>67401300</v>
      </c>
      <c r="G325" s="0" t="n">
        <f aca="false">INDEX(마스터!$E:$E,MATCH(C325,마스터!$A:$A,0))</f>
        <v>5670</v>
      </c>
      <c r="H325" s="0" t="n">
        <f aca="false">D325*G325</f>
        <v>33849900</v>
      </c>
    </row>
    <row r="326" customFormat="false" ht="15" hidden="false" customHeight="false" outlineLevel="0" collapsed="false">
      <c r="A326" s="0" t="s">
        <v>91</v>
      </c>
      <c r="B326" s="1" t="s">
        <v>14</v>
      </c>
      <c r="C326" s="1" t="s">
        <v>41</v>
      </c>
      <c r="D326" s="0" t="n">
        <v>7470</v>
      </c>
      <c r="E326" s="0" t="n">
        <v>10970</v>
      </c>
      <c r="F326" s="0" t="n">
        <f aca="false">D326*E326</f>
        <v>81945900</v>
      </c>
      <c r="G326" s="0" t="n">
        <f aca="false">INDEX(마스터!$E:$E,MATCH(C326,마스터!$A:$A,0))</f>
        <v>5480</v>
      </c>
      <c r="H326" s="0" t="n">
        <f aca="false">D326*G326</f>
        <v>40935600</v>
      </c>
    </row>
    <row r="327" customFormat="false" ht="15" hidden="false" customHeight="false" outlineLevel="0" collapsed="false">
      <c r="A327" s="0" t="s">
        <v>91</v>
      </c>
      <c r="B327" s="1" t="s">
        <v>14</v>
      </c>
      <c r="C327" s="1" t="s">
        <v>64</v>
      </c>
      <c r="D327" s="0" t="n">
        <v>6590</v>
      </c>
      <c r="E327" s="0" t="n">
        <v>11610</v>
      </c>
      <c r="F327" s="0" t="n">
        <f aca="false">D327*E327</f>
        <v>76509900</v>
      </c>
      <c r="G327" s="0" t="n">
        <f aca="false">INDEX(마스터!$E:$E,MATCH(C327,마스터!$A:$A,0))</f>
        <v>5890</v>
      </c>
      <c r="H327" s="0" t="n">
        <f aca="false">D327*G327</f>
        <v>38815100</v>
      </c>
    </row>
    <row r="328" customFormat="false" ht="15" hidden="false" customHeight="false" outlineLevel="0" collapsed="false">
      <c r="A328" s="0" t="s">
        <v>91</v>
      </c>
      <c r="B328" s="1" t="s">
        <v>14</v>
      </c>
      <c r="C328" s="1" t="s">
        <v>80</v>
      </c>
      <c r="D328" s="0" t="n">
        <v>5420</v>
      </c>
      <c r="E328" s="0" t="n">
        <v>9030</v>
      </c>
      <c r="F328" s="0" t="n">
        <f aca="false">D328*E328</f>
        <v>48942600</v>
      </c>
      <c r="G328" s="0" t="n">
        <f aca="false">INDEX(마스터!$E:$E,MATCH(C328,마스터!$A:$A,0))</f>
        <v>4690</v>
      </c>
      <c r="H328" s="0" t="n">
        <f aca="false">D328*G328</f>
        <v>25419800</v>
      </c>
    </row>
    <row r="329" customFormat="false" ht="15" hidden="false" customHeight="false" outlineLevel="0" collapsed="false">
      <c r="A329" s="0" t="s">
        <v>91</v>
      </c>
      <c r="B329" s="1" t="s">
        <v>14</v>
      </c>
      <c r="C329" s="1" t="s">
        <v>47</v>
      </c>
      <c r="D329" s="0" t="n">
        <v>19660</v>
      </c>
      <c r="E329" s="0" t="n">
        <v>8390</v>
      </c>
      <c r="F329" s="0" t="n">
        <f aca="false">D329*E329</f>
        <v>164947400</v>
      </c>
      <c r="G329" s="0" t="n">
        <f aca="false">INDEX(마스터!$E:$E,MATCH(C329,마스터!$A:$A,0))</f>
        <v>4170</v>
      </c>
      <c r="H329" s="0" t="n">
        <f aca="false">D329*G329</f>
        <v>81982200</v>
      </c>
    </row>
    <row r="330" customFormat="false" ht="15" hidden="false" customHeight="false" outlineLevel="0" collapsed="false">
      <c r="A330" s="0" t="s">
        <v>91</v>
      </c>
      <c r="B330" s="1" t="s">
        <v>15</v>
      </c>
      <c r="C330" s="1" t="s">
        <v>49</v>
      </c>
      <c r="D330" s="0" t="n">
        <v>6930</v>
      </c>
      <c r="E330" s="0" t="n">
        <v>10080</v>
      </c>
      <c r="F330" s="0" t="n">
        <f aca="false">D330*E330</f>
        <v>69854400</v>
      </c>
      <c r="G330" s="0" t="n">
        <f aca="false">INDEX(마스터!$E:$E,MATCH(C330,마스터!$A:$A,0))</f>
        <v>5430</v>
      </c>
      <c r="H330" s="0" t="n">
        <f aca="false">D330*G330</f>
        <v>37629900</v>
      </c>
    </row>
    <row r="331" customFormat="false" ht="15" hidden="false" customHeight="false" outlineLevel="0" collapsed="false">
      <c r="A331" s="0" t="s">
        <v>91</v>
      </c>
      <c r="B331" s="1" t="s">
        <v>15</v>
      </c>
      <c r="C331" s="1" t="s">
        <v>38</v>
      </c>
      <c r="D331" s="0" t="n">
        <v>7760</v>
      </c>
      <c r="E331" s="0" t="n">
        <v>11380</v>
      </c>
      <c r="F331" s="0" t="n">
        <f aca="false">D331*E331</f>
        <v>88308800</v>
      </c>
      <c r="G331" s="0" t="n">
        <f aca="false">INDEX(마스터!$E:$E,MATCH(C331,마스터!$A:$A,0))</f>
        <v>5670</v>
      </c>
      <c r="H331" s="0" t="n">
        <f aca="false">D331*G331</f>
        <v>43999200</v>
      </c>
    </row>
    <row r="332" customFormat="false" ht="15" hidden="false" customHeight="false" outlineLevel="0" collapsed="false">
      <c r="A332" s="0" t="s">
        <v>91</v>
      </c>
      <c r="B332" s="1" t="s">
        <v>15</v>
      </c>
      <c r="C332" s="1" t="s">
        <v>43</v>
      </c>
      <c r="D332" s="0" t="n">
        <v>6070</v>
      </c>
      <c r="E332" s="0" t="n">
        <v>11710</v>
      </c>
      <c r="F332" s="0" t="n">
        <f aca="false">D332*E332</f>
        <v>71079700</v>
      </c>
      <c r="G332" s="0" t="n">
        <f aca="false">INDEX(마스터!$E:$E,MATCH(C332,마스터!$A:$A,0))</f>
        <v>6350</v>
      </c>
      <c r="H332" s="0" t="n">
        <f aca="false">D332*G332</f>
        <v>38544500</v>
      </c>
    </row>
    <row r="333" customFormat="false" ht="15" hidden="false" customHeight="false" outlineLevel="0" collapsed="false">
      <c r="A333" s="0" t="s">
        <v>91</v>
      </c>
      <c r="B333" s="1" t="s">
        <v>15</v>
      </c>
      <c r="C333" s="1" t="s">
        <v>66</v>
      </c>
      <c r="D333" s="0" t="n">
        <v>9640</v>
      </c>
      <c r="E333" s="0" t="n">
        <v>12040</v>
      </c>
      <c r="F333" s="0" t="n">
        <f aca="false">D333*E333</f>
        <v>116065600</v>
      </c>
      <c r="G333" s="0" t="n">
        <f aca="false">INDEX(마스터!$E:$E,MATCH(C333,마스터!$A:$A,0))</f>
        <v>6360</v>
      </c>
      <c r="H333" s="0" t="n">
        <f aca="false">D333*G333</f>
        <v>61310400</v>
      </c>
    </row>
    <row r="334" customFormat="false" ht="15" hidden="false" customHeight="false" outlineLevel="0" collapsed="false">
      <c r="A334" s="0" t="s">
        <v>91</v>
      </c>
      <c r="B334" s="1" t="s">
        <v>15</v>
      </c>
      <c r="C334" s="1" t="s">
        <v>36</v>
      </c>
      <c r="D334" s="0" t="n">
        <v>5600</v>
      </c>
      <c r="E334" s="0" t="n">
        <v>9430</v>
      </c>
      <c r="F334" s="0" t="n">
        <f aca="false">D334*E334</f>
        <v>52808000</v>
      </c>
      <c r="G334" s="0" t="n">
        <f aca="false">INDEX(마스터!$E:$E,MATCH(C334,마스터!$A:$A,0))</f>
        <v>4540</v>
      </c>
      <c r="H334" s="0" t="n">
        <f aca="false">D334*G334</f>
        <v>25424000</v>
      </c>
    </row>
    <row r="335" customFormat="false" ht="15" hidden="false" customHeight="false" outlineLevel="0" collapsed="false">
      <c r="A335" s="0" t="s">
        <v>91</v>
      </c>
      <c r="B335" s="1" t="s">
        <v>15</v>
      </c>
      <c r="C335" s="1" t="s">
        <v>47</v>
      </c>
      <c r="D335" s="0" t="n">
        <v>19090</v>
      </c>
      <c r="E335" s="0" t="n">
        <v>8460</v>
      </c>
      <c r="F335" s="0" t="n">
        <f aca="false">D335*E335</f>
        <v>161501400</v>
      </c>
      <c r="G335" s="0" t="n">
        <f aca="false">INDEX(마스터!$E:$E,MATCH(C335,마스터!$A:$A,0))</f>
        <v>4170</v>
      </c>
      <c r="H335" s="0" t="n">
        <f aca="false">D335*G335</f>
        <v>79605300</v>
      </c>
    </row>
    <row r="336" customFormat="false" ht="15" hidden="false" customHeight="false" outlineLevel="0" collapsed="false">
      <c r="A336" s="0" t="s">
        <v>91</v>
      </c>
      <c r="B336" s="1" t="s">
        <v>16</v>
      </c>
      <c r="C336" s="1" t="s">
        <v>45</v>
      </c>
      <c r="D336" s="0" t="n">
        <v>6970</v>
      </c>
      <c r="E336" s="0" t="n">
        <v>13140</v>
      </c>
      <c r="F336" s="0" t="n">
        <f aca="false">D336*E336</f>
        <v>91585800</v>
      </c>
      <c r="G336" s="0" t="n">
        <f aca="false">INDEX(마스터!$E:$E,MATCH(C336,마스터!$A:$A,0))</f>
        <v>6110</v>
      </c>
      <c r="H336" s="0" t="n">
        <f aca="false">D336*G336</f>
        <v>42586700</v>
      </c>
    </row>
    <row r="337" customFormat="false" ht="15" hidden="false" customHeight="false" outlineLevel="0" collapsed="false">
      <c r="A337" s="0" t="s">
        <v>91</v>
      </c>
      <c r="B337" s="1" t="s">
        <v>16</v>
      </c>
      <c r="C337" s="1" t="s">
        <v>38</v>
      </c>
      <c r="D337" s="0" t="n">
        <v>6420</v>
      </c>
      <c r="E337" s="0" t="n">
        <v>12430</v>
      </c>
      <c r="F337" s="0" t="n">
        <f aca="false">D337*E337</f>
        <v>79800600</v>
      </c>
      <c r="G337" s="0" t="n">
        <f aca="false">INDEX(마스터!$E:$E,MATCH(C337,마스터!$A:$A,0))</f>
        <v>5670</v>
      </c>
      <c r="H337" s="0" t="n">
        <f aca="false">D337*G337</f>
        <v>36401400</v>
      </c>
    </row>
    <row r="338" customFormat="false" ht="15" hidden="false" customHeight="false" outlineLevel="0" collapsed="false">
      <c r="A338" s="0" t="s">
        <v>91</v>
      </c>
      <c r="B338" s="1" t="s">
        <v>16</v>
      </c>
      <c r="C338" s="1" t="s">
        <v>60</v>
      </c>
      <c r="D338" s="0" t="n">
        <v>8090</v>
      </c>
      <c r="E338" s="0" t="n">
        <v>13850</v>
      </c>
      <c r="F338" s="0" t="n">
        <f aca="false">D338*E338</f>
        <v>112046500</v>
      </c>
      <c r="G338" s="0" t="n">
        <f aca="false">INDEX(마스터!$E:$E,MATCH(C338,마스터!$A:$A,0))</f>
        <v>6980</v>
      </c>
      <c r="H338" s="0" t="n">
        <f aca="false">D338*G338</f>
        <v>56468200</v>
      </c>
    </row>
    <row r="339" customFormat="false" ht="15" hidden="false" customHeight="false" outlineLevel="0" collapsed="false">
      <c r="A339" s="0" t="s">
        <v>91</v>
      </c>
      <c r="B339" s="1" t="s">
        <v>16</v>
      </c>
      <c r="C339" s="1" t="s">
        <v>43</v>
      </c>
      <c r="D339" s="0" t="n">
        <v>4750</v>
      </c>
      <c r="E339" s="0" t="n">
        <v>12790</v>
      </c>
      <c r="F339" s="0" t="n">
        <f aca="false">D339*E339</f>
        <v>60752500</v>
      </c>
      <c r="G339" s="0" t="n">
        <f aca="false">INDEX(마스터!$E:$E,MATCH(C339,마스터!$A:$A,0))</f>
        <v>6350</v>
      </c>
      <c r="H339" s="0" t="n">
        <f aca="false">D339*G339</f>
        <v>30162500</v>
      </c>
    </row>
    <row r="340" customFormat="false" ht="15" hidden="false" customHeight="false" outlineLevel="0" collapsed="false">
      <c r="A340" s="0" t="s">
        <v>91</v>
      </c>
      <c r="B340" s="1" t="s">
        <v>16</v>
      </c>
      <c r="C340" s="1" t="s">
        <v>92</v>
      </c>
      <c r="D340" s="0" t="n">
        <v>4090</v>
      </c>
      <c r="E340" s="0" t="n">
        <v>12080</v>
      </c>
      <c r="F340" s="0" t="n">
        <f aca="false">D340*E340</f>
        <v>49407200</v>
      </c>
      <c r="G340" s="0" t="n">
        <f aca="false">INDEX(마스터!$E:$E,MATCH(C340,마스터!$A:$A,0))</f>
        <v>5650</v>
      </c>
      <c r="H340" s="0" t="n">
        <f aca="false">D340*G340</f>
        <v>23108500</v>
      </c>
    </row>
    <row r="341" customFormat="false" ht="15" hidden="false" customHeight="false" outlineLevel="0" collapsed="false">
      <c r="A341" s="0" t="s">
        <v>91</v>
      </c>
      <c r="B341" s="1" t="s">
        <v>16</v>
      </c>
      <c r="C341" s="1" t="s">
        <v>47</v>
      </c>
      <c r="D341" s="0" t="n">
        <v>9160</v>
      </c>
      <c r="E341" s="0" t="n">
        <v>9240</v>
      </c>
      <c r="F341" s="0" t="n">
        <f aca="false">D341*E341</f>
        <v>84638400</v>
      </c>
      <c r="G341" s="0" t="n">
        <f aca="false">INDEX(마스터!$E:$E,MATCH(C341,마스터!$A:$A,0))</f>
        <v>4170</v>
      </c>
      <c r="H341" s="0" t="n">
        <f aca="false">D341*G341</f>
        <v>38197200</v>
      </c>
    </row>
    <row r="342" customFormat="false" ht="15" hidden="false" customHeight="false" outlineLevel="0" collapsed="false">
      <c r="A342" s="0" t="s">
        <v>91</v>
      </c>
      <c r="B342" s="1" t="s">
        <v>17</v>
      </c>
      <c r="C342" s="1" t="s">
        <v>38</v>
      </c>
      <c r="D342" s="0" t="n">
        <v>5000</v>
      </c>
      <c r="E342" s="0" t="n">
        <v>11290</v>
      </c>
      <c r="F342" s="0" t="n">
        <f aca="false">D342*E342</f>
        <v>56450000</v>
      </c>
      <c r="G342" s="0" t="n">
        <f aca="false">INDEX(마스터!$E:$E,MATCH(C342,마스터!$A:$A,0))</f>
        <v>5670</v>
      </c>
      <c r="H342" s="0" t="n">
        <f aca="false">D342*G342</f>
        <v>28350000</v>
      </c>
    </row>
    <row r="343" customFormat="false" ht="15" hidden="false" customHeight="false" outlineLevel="0" collapsed="false">
      <c r="A343" s="0" t="s">
        <v>91</v>
      </c>
      <c r="B343" s="1" t="s">
        <v>17</v>
      </c>
      <c r="C343" s="1" t="s">
        <v>46</v>
      </c>
      <c r="D343" s="0" t="n">
        <v>5150</v>
      </c>
      <c r="E343" s="0" t="n">
        <v>13230</v>
      </c>
      <c r="F343" s="0" t="n">
        <f aca="false">D343*E343</f>
        <v>68134500</v>
      </c>
      <c r="G343" s="0" t="n">
        <f aca="false">INDEX(마스터!$E:$E,MATCH(C343,마스터!$A:$A,0))</f>
        <v>6910</v>
      </c>
      <c r="H343" s="0" t="n">
        <f aca="false">D343*G343</f>
        <v>35586500</v>
      </c>
    </row>
    <row r="344" customFormat="false" ht="15" hidden="false" customHeight="false" outlineLevel="0" collapsed="false">
      <c r="A344" s="0" t="s">
        <v>91</v>
      </c>
      <c r="B344" s="1" t="s">
        <v>17</v>
      </c>
      <c r="C344" s="1" t="s">
        <v>34</v>
      </c>
      <c r="D344" s="0" t="n">
        <v>3940</v>
      </c>
      <c r="E344" s="0" t="n">
        <v>11940</v>
      </c>
      <c r="F344" s="0" t="n">
        <f aca="false">D344*E344</f>
        <v>47043600</v>
      </c>
      <c r="G344" s="0" t="n">
        <f aca="false">INDEX(마스터!$E:$E,MATCH(C344,마스터!$A:$A,0))</f>
        <v>6630</v>
      </c>
      <c r="H344" s="0" t="n">
        <f aca="false">D344*G344</f>
        <v>26122200</v>
      </c>
    </row>
    <row r="345" customFormat="false" ht="15" hidden="false" customHeight="false" outlineLevel="0" collapsed="false">
      <c r="A345" s="0" t="s">
        <v>91</v>
      </c>
      <c r="B345" s="1" t="s">
        <v>17</v>
      </c>
      <c r="C345" s="1" t="s">
        <v>51</v>
      </c>
      <c r="D345" s="0" t="n">
        <v>5460</v>
      </c>
      <c r="E345" s="0" t="n">
        <v>13230</v>
      </c>
      <c r="F345" s="0" t="n">
        <f aca="false">D345*E345</f>
        <v>72235800</v>
      </c>
      <c r="G345" s="0" t="n">
        <f aca="false">INDEX(마스터!$E:$E,MATCH(C345,마스터!$A:$A,0))</f>
        <v>7480</v>
      </c>
      <c r="H345" s="0" t="n">
        <f aca="false">D345*G345</f>
        <v>40840800</v>
      </c>
    </row>
    <row r="346" customFormat="false" ht="15" hidden="false" customHeight="false" outlineLevel="0" collapsed="false">
      <c r="A346" s="0" t="s">
        <v>91</v>
      </c>
      <c r="B346" s="1" t="s">
        <v>17</v>
      </c>
      <c r="C346" s="1" t="s">
        <v>66</v>
      </c>
      <c r="D346" s="0" t="n">
        <v>3840</v>
      </c>
      <c r="E346" s="0" t="n">
        <v>11940</v>
      </c>
      <c r="F346" s="0" t="n">
        <f aca="false">D346*E346</f>
        <v>45849600</v>
      </c>
      <c r="G346" s="0" t="n">
        <f aca="false">INDEX(마스터!$E:$E,MATCH(C346,마스터!$A:$A,0))</f>
        <v>6360</v>
      </c>
      <c r="H346" s="0" t="n">
        <f aca="false">D346*G346</f>
        <v>24422400</v>
      </c>
    </row>
    <row r="347" customFormat="false" ht="15" hidden="false" customHeight="false" outlineLevel="0" collapsed="false">
      <c r="A347" s="0" t="s">
        <v>91</v>
      </c>
      <c r="B347" s="1" t="s">
        <v>17</v>
      </c>
      <c r="C347" s="1" t="s">
        <v>47</v>
      </c>
      <c r="D347" s="0" t="n">
        <v>11010</v>
      </c>
      <c r="E347" s="0" t="n">
        <v>8390</v>
      </c>
      <c r="F347" s="0" t="n">
        <f aca="false">D347*E347</f>
        <v>92373900</v>
      </c>
      <c r="G347" s="0" t="n">
        <f aca="false">INDEX(마스터!$E:$E,MATCH(C347,마스터!$A:$A,0))</f>
        <v>4170</v>
      </c>
      <c r="H347" s="0" t="n">
        <f aca="false">D347*G347</f>
        <v>45911700</v>
      </c>
    </row>
    <row r="348" customFormat="false" ht="15" hidden="false" customHeight="false" outlineLevel="0" collapsed="false">
      <c r="A348" s="0" t="s">
        <v>91</v>
      </c>
      <c r="B348" s="1" t="s">
        <v>18</v>
      </c>
      <c r="C348" s="1" t="s">
        <v>45</v>
      </c>
      <c r="D348" s="0" t="n">
        <v>6640</v>
      </c>
      <c r="E348" s="0" t="n">
        <v>13100</v>
      </c>
      <c r="F348" s="0" t="n">
        <f aca="false">D348*E348</f>
        <v>86984000</v>
      </c>
      <c r="G348" s="0" t="n">
        <f aca="false">INDEX(마스터!$E:$E,MATCH(C348,마스터!$A:$A,0))</f>
        <v>6110</v>
      </c>
      <c r="H348" s="0" t="n">
        <f aca="false">D348*G348</f>
        <v>40570400</v>
      </c>
    </row>
    <row r="349" customFormat="false" ht="15" hidden="false" customHeight="false" outlineLevel="0" collapsed="false">
      <c r="A349" s="0" t="s">
        <v>91</v>
      </c>
      <c r="B349" s="1" t="s">
        <v>18</v>
      </c>
      <c r="C349" s="1" t="s">
        <v>61</v>
      </c>
      <c r="D349" s="0" t="n">
        <v>6730</v>
      </c>
      <c r="E349" s="0" t="n">
        <v>10980</v>
      </c>
      <c r="F349" s="0" t="n">
        <f aca="false">D349*E349</f>
        <v>73895400</v>
      </c>
      <c r="G349" s="0" t="n">
        <f aca="false">INDEX(마스터!$E:$E,MATCH(C349,마스터!$A:$A,0))</f>
        <v>5390</v>
      </c>
      <c r="H349" s="0" t="n">
        <f aca="false">D349*G349</f>
        <v>36274700</v>
      </c>
    </row>
    <row r="350" customFormat="false" ht="15" hidden="false" customHeight="false" outlineLevel="0" collapsed="false">
      <c r="A350" s="0" t="s">
        <v>91</v>
      </c>
      <c r="B350" s="1" t="s">
        <v>18</v>
      </c>
      <c r="C350" s="1" t="s">
        <v>60</v>
      </c>
      <c r="D350" s="0" t="n">
        <v>6490</v>
      </c>
      <c r="E350" s="0" t="n">
        <v>13810</v>
      </c>
      <c r="F350" s="0" t="n">
        <f aca="false">D350*E350</f>
        <v>89626900</v>
      </c>
      <c r="G350" s="0" t="n">
        <f aca="false">INDEX(마스터!$E:$E,MATCH(C350,마스터!$A:$A,0))</f>
        <v>6980</v>
      </c>
      <c r="H350" s="0" t="n">
        <f aca="false">D350*G350</f>
        <v>45300200</v>
      </c>
    </row>
    <row r="351" customFormat="false" ht="15" hidden="false" customHeight="false" outlineLevel="0" collapsed="false">
      <c r="A351" s="0" t="s">
        <v>91</v>
      </c>
      <c r="B351" s="1" t="s">
        <v>18</v>
      </c>
      <c r="C351" s="1" t="s">
        <v>75</v>
      </c>
      <c r="D351" s="0" t="n">
        <v>5600</v>
      </c>
      <c r="E351" s="0" t="n">
        <v>12040</v>
      </c>
      <c r="F351" s="0" t="n">
        <f aca="false">D351*E351</f>
        <v>67424000</v>
      </c>
      <c r="G351" s="0" t="n">
        <f aca="false">INDEX(마스터!$E:$E,MATCH(C351,마스터!$A:$A,0))</f>
        <v>5440</v>
      </c>
      <c r="H351" s="0" t="n">
        <f aca="false">D351*G351</f>
        <v>30464000</v>
      </c>
    </row>
    <row r="352" customFormat="false" ht="15" hidden="false" customHeight="false" outlineLevel="0" collapsed="false">
      <c r="A352" s="0" t="s">
        <v>91</v>
      </c>
      <c r="B352" s="1" t="s">
        <v>19</v>
      </c>
      <c r="C352" s="1" t="s">
        <v>79</v>
      </c>
      <c r="D352" s="0" t="n">
        <v>3760</v>
      </c>
      <c r="E352" s="0" t="n">
        <v>11000</v>
      </c>
      <c r="F352" s="0" t="n">
        <f aca="false">D352*E352</f>
        <v>41360000</v>
      </c>
      <c r="G352" s="0" t="n">
        <f aca="false">INDEX(마스터!$E:$E,MATCH(C352,마스터!$A:$A,0))</f>
        <v>5990</v>
      </c>
      <c r="H352" s="0" t="n">
        <f aca="false">D352*G352</f>
        <v>22522400</v>
      </c>
    </row>
    <row r="353" customFormat="false" ht="15" hidden="false" customHeight="false" outlineLevel="0" collapsed="false">
      <c r="A353" s="0" t="s">
        <v>91</v>
      </c>
      <c r="B353" s="1" t="s">
        <v>19</v>
      </c>
      <c r="C353" s="1" t="s">
        <v>59</v>
      </c>
      <c r="D353" s="0" t="n">
        <v>5410</v>
      </c>
      <c r="E353" s="0" t="n">
        <v>12940</v>
      </c>
      <c r="F353" s="0" t="n">
        <f aca="false">D353*E353</f>
        <v>70005400</v>
      </c>
      <c r="G353" s="0" t="n">
        <f aca="false">INDEX(마스터!$E:$E,MATCH(C353,마스터!$A:$A,0))</f>
        <v>6520</v>
      </c>
      <c r="H353" s="0" t="n">
        <f aca="false">D353*G353</f>
        <v>35273200</v>
      </c>
    </row>
    <row r="354" customFormat="false" ht="15" hidden="false" customHeight="false" outlineLevel="0" collapsed="false">
      <c r="A354" s="0" t="s">
        <v>91</v>
      </c>
      <c r="B354" s="1" t="s">
        <v>19</v>
      </c>
      <c r="C354" s="1" t="s">
        <v>54</v>
      </c>
      <c r="D354" s="0" t="n">
        <v>3790</v>
      </c>
      <c r="E354" s="0" t="n">
        <v>12300</v>
      </c>
      <c r="F354" s="0" t="n">
        <f aca="false">D354*E354</f>
        <v>46617000</v>
      </c>
      <c r="G354" s="0" t="n">
        <f aca="false">INDEX(마스터!$E:$E,MATCH(C354,마스터!$A:$A,0))</f>
        <v>6790</v>
      </c>
      <c r="H354" s="0" t="n">
        <f aca="false">D354*G354</f>
        <v>25734100</v>
      </c>
    </row>
    <row r="355" customFormat="false" ht="15" hidden="false" customHeight="false" outlineLevel="0" collapsed="false">
      <c r="A355" s="0" t="s">
        <v>91</v>
      </c>
      <c r="B355" s="1" t="s">
        <v>19</v>
      </c>
      <c r="C355" s="1" t="s">
        <v>34</v>
      </c>
      <c r="D355" s="0" t="n">
        <v>6030</v>
      </c>
      <c r="E355" s="0" t="n">
        <v>11970</v>
      </c>
      <c r="F355" s="0" t="n">
        <f aca="false">D355*E355</f>
        <v>72179100</v>
      </c>
      <c r="G355" s="0" t="n">
        <f aca="false">INDEX(마스터!$E:$E,MATCH(C355,마스터!$A:$A,0))</f>
        <v>6630</v>
      </c>
      <c r="H355" s="0" t="n">
        <f aca="false">D355*G355</f>
        <v>39978900</v>
      </c>
    </row>
    <row r="356" customFormat="false" ht="15" hidden="false" customHeight="false" outlineLevel="0" collapsed="false">
      <c r="A356" s="0" t="s">
        <v>91</v>
      </c>
      <c r="B356" s="1" t="s">
        <v>19</v>
      </c>
      <c r="C356" s="1" t="s">
        <v>83</v>
      </c>
      <c r="D356" s="0" t="n">
        <v>2600</v>
      </c>
      <c r="E356" s="0" t="n">
        <v>9060</v>
      </c>
      <c r="F356" s="0" t="n">
        <f aca="false">D356*E356</f>
        <v>23556000</v>
      </c>
      <c r="G356" s="0" t="n">
        <f aca="false">INDEX(마스터!$E:$E,MATCH(C356,마스터!$A:$A,0))</f>
        <v>4460</v>
      </c>
      <c r="H356" s="0" t="n">
        <f aca="false">D356*G356</f>
        <v>11596000</v>
      </c>
    </row>
    <row r="357" customFormat="false" ht="15" hidden="false" customHeight="false" outlineLevel="0" collapsed="false">
      <c r="A357" s="0" t="s">
        <v>91</v>
      </c>
      <c r="B357" s="1" t="s">
        <v>20</v>
      </c>
      <c r="C357" s="1" t="s">
        <v>61</v>
      </c>
      <c r="D357" s="0" t="n">
        <v>3410</v>
      </c>
      <c r="E357" s="0" t="n">
        <v>11040</v>
      </c>
      <c r="F357" s="0" t="n">
        <f aca="false">D357*E357</f>
        <v>37646400</v>
      </c>
      <c r="G357" s="0" t="n">
        <f aca="false">INDEX(마스터!$E:$E,MATCH(C357,마스터!$A:$A,0))</f>
        <v>5390</v>
      </c>
      <c r="H357" s="0" t="n">
        <f aca="false">D357*G357</f>
        <v>18379900</v>
      </c>
    </row>
    <row r="358" customFormat="false" ht="15" hidden="false" customHeight="false" outlineLevel="0" collapsed="false">
      <c r="A358" s="0" t="s">
        <v>91</v>
      </c>
      <c r="B358" s="1" t="s">
        <v>20</v>
      </c>
      <c r="C358" s="1" t="s">
        <v>55</v>
      </c>
      <c r="D358" s="0" t="n">
        <v>4860</v>
      </c>
      <c r="E358" s="0" t="n">
        <v>13180</v>
      </c>
      <c r="F358" s="0" t="n">
        <f aca="false">D358*E358</f>
        <v>64054800</v>
      </c>
      <c r="G358" s="0" t="n">
        <f aca="false">INDEX(마스터!$E:$E,MATCH(C358,마스터!$A:$A,0))</f>
        <v>6040</v>
      </c>
      <c r="H358" s="0" t="n">
        <f aca="false">D358*G358</f>
        <v>29354400</v>
      </c>
    </row>
    <row r="359" customFormat="false" ht="15" hidden="false" customHeight="false" outlineLevel="0" collapsed="false">
      <c r="A359" s="0" t="s">
        <v>91</v>
      </c>
      <c r="B359" s="1" t="s">
        <v>20</v>
      </c>
      <c r="C359" s="1" t="s">
        <v>80</v>
      </c>
      <c r="D359" s="0" t="n">
        <v>3420</v>
      </c>
      <c r="E359" s="0" t="n">
        <v>9970</v>
      </c>
      <c r="F359" s="0" t="n">
        <f aca="false">D359*E359</f>
        <v>34097400</v>
      </c>
      <c r="G359" s="0" t="n">
        <f aca="false">INDEX(마스터!$E:$E,MATCH(C359,마스터!$A:$A,0))</f>
        <v>4690</v>
      </c>
      <c r="H359" s="0" t="n">
        <f aca="false">D359*G359</f>
        <v>16039800</v>
      </c>
    </row>
    <row r="360" customFormat="false" ht="15" hidden="false" customHeight="false" outlineLevel="0" collapsed="false">
      <c r="A360" s="0" t="s">
        <v>91</v>
      </c>
      <c r="B360" s="1" t="s">
        <v>20</v>
      </c>
      <c r="C360" s="1" t="s">
        <v>47</v>
      </c>
      <c r="D360" s="0" t="n">
        <v>5470</v>
      </c>
      <c r="E360" s="0" t="n">
        <v>9260</v>
      </c>
      <c r="F360" s="0" t="n">
        <f aca="false">D360*E360</f>
        <v>50652200</v>
      </c>
      <c r="G360" s="0" t="n">
        <f aca="false">INDEX(마스터!$E:$E,MATCH(C360,마스터!$A:$A,0))</f>
        <v>4170</v>
      </c>
      <c r="H360" s="0" t="n">
        <f aca="false">D360*G360</f>
        <v>22809900</v>
      </c>
    </row>
    <row r="361" customFormat="false" ht="15" hidden="false" customHeight="false" outlineLevel="0" collapsed="false">
      <c r="A361" s="0" t="s">
        <v>91</v>
      </c>
      <c r="B361" s="1" t="s">
        <v>21</v>
      </c>
      <c r="C361" s="1" t="s">
        <v>45</v>
      </c>
      <c r="D361" s="0" t="n">
        <v>4500</v>
      </c>
      <c r="E361" s="0" t="n">
        <v>12950</v>
      </c>
      <c r="F361" s="0" t="n">
        <f aca="false">D361*E361</f>
        <v>58275000</v>
      </c>
      <c r="G361" s="0" t="n">
        <f aca="false">INDEX(마스터!$E:$E,MATCH(C361,마스터!$A:$A,0))</f>
        <v>6110</v>
      </c>
      <c r="H361" s="0" t="n">
        <f aca="false">D361*G361</f>
        <v>27495000</v>
      </c>
    </row>
    <row r="362" customFormat="false" ht="15" hidden="false" customHeight="false" outlineLevel="0" collapsed="false">
      <c r="A362" s="0" t="s">
        <v>91</v>
      </c>
      <c r="B362" s="1" t="s">
        <v>21</v>
      </c>
      <c r="C362" s="1" t="s">
        <v>72</v>
      </c>
      <c r="D362" s="0" t="n">
        <v>6040</v>
      </c>
      <c r="E362" s="0" t="n">
        <v>12250</v>
      </c>
      <c r="F362" s="0" t="n">
        <f aca="false">D362*E362</f>
        <v>73990000</v>
      </c>
      <c r="G362" s="0" t="n">
        <f aca="false">INDEX(마스터!$E:$E,MATCH(C362,마스터!$A:$A,0))</f>
        <v>5920</v>
      </c>
      <c r="H362" s="0" t="n">
        <f aca="false">D362*G362</f>
        <v>35756800</v>
      </c>
    </row>
    <row r="363" customFormat="false" ht="15" hidden="false" customHeight="false" outlineLevel="0" collapsed="false">
      <c r="A363" s="0" t="s">
        <v>91</v>
      </c>
      <c r="B363" s="1" t="s">
        <v>21</v>
      </c>
      <c r="C363" s="1" t="s">
        <v>36</v>
      </c>
      <c r="D363" s="0" t="n">
        <v>4130</v>
      </c>
      <c r="E363" s="0" t="n">
        <v>10150</v>
      </c>
      <c r="F363" s="0" t="n">
        <f aca="false">D363*E363</f>
        <v>41919500</v>
      </c>
      <c r="G363" s="0" t="n">
        <f aca="false">INDEX(마스터!$E:$E,MATCH(C363,마스터!$A:$A,0))</f>
        <v>4540</v>
      </c>
      <c r="H363" s="0" t="n">
        <f aca="false">D363*G363</f>
        <v>18750200</v>
      </c>
    </row>
    <row r="364" customFormat="false" ht="15" hidden="false" customHeight="false" outlineLevel="0" collapsed="false">
      <c r="A364" s="0" t="s">
        <v>91</v>
      </c>
      <c r="B364" s="1" t="s">
        <v>22</v>
      </c>
      <c r="C364" s="1" t="s">
        <v>65</v>
      </c>
      <c r="D364" s="0" t="n">
        <v>4120</v>
      </c>
      <c r="E364" s="0" t="n">
        <v>14410</v>
      </c>
      <c r="F364" s="0" t="n">
        <f aca="false">D364*E364</f>
        <v>59369200</v>
      </c>
      <c r="G364" s="0" t="n">
        <f aca="false">INDEX(마스터!$E:$E,MATCH(C364,마스터!$A:$A,0))</f>
        <v>6670</v>
      </c>
      <c r="H364" s="0" t="n">
        <f aca="false">D364*G364</f>
        <v>27480400</v>
      </c>
    </row>
    <row r="365" customFormat="false" ht="15" hidden="false" customHeight="false" outlineLevel="0" collapsed="false">
      <c r="A365" s="0" t="s">
        <v>91</v>
      </c>
      <c r="B365" s="1" t="s">
        <v>22</v>
      </c>
      <c r="C365" s="1" t="s">
        <v>42</v>
      </c>
      <c r="D365" s="0" t="n">
        <v>8060</v>
      </c>
      <c r="E365" s="0" t="n">
        <v>13360</v>
      </c>
      <c r="F365" s="0" t="n">
        <f aca="false">D365*E365</f>
        <v>107681600</v>
      </c>
      <c r="G365" s="0" t="n">
        <f aca="false">INDEX(마스터!$E:$E,MATCH(C365,마스터!$A:$A,0))</f>
        <v>6730</v>
      </c>
      <c r="H365" s="0" t="n">
        <f aca="false">D365*G365</f>
        <v>54243800</v>
      </c>
    </row>
    <row r="366" customFormat="false" ht="15" hidden="false" customHeight="false" outlineLevel="0" collapsed="false">
      <c r="A366" s="0" t="s">
        <v>91</v>
      </c>
      <c r="B366" s="1" t="s">
        <v>23</v>
      </c>
      <c r="C366" s="1" t="s">
        <v>86</v>
      </c>
      <c r="D366" s="0" t="n">
        <v>5050</v>
      </c>
      <c r="E366" s="0" t="n">
        <v>12910</v>
      </c>
      <c r="F366" s="0" t="n">
        <f aca="false">D366*E366</f>
        <v>65195500</v>
      </c>
      <c r="G366" s="0" t="n">
        <f aca="false">INDEX(마스터!$E:$E,MATCH(C366,마스터!$A:$A,0))</f>
        <v>6430</v>
      </c>
      <c r="H366" s="0" t="n">
        <f aca="false">D366*G366</f>
        <v>32471500</v>
      </c>
    </row>
    <row r="367" customFormat="false" ht="15" hidden="false" customHeight="false" outlineLevel="0" collapsed="false">
      <c r="A367" s="0" t="s">
        <v>91</v>
      </c>
      <c r="B367" s="1" t="s">
        <v>23</v>
      </c>
      <c r="C367" s="1" t="s">
        <v>66</v>
      </c>
      <c r="D367" s="0" t="n">
        <v>5740</v>
      </c>
      <c r="E367" s="0" t="n">
        <v>12910</v>
      </c>
      <c r="F367" s="0" t="n">
        <f aca="false">D367*E367</f>
        <v>74103400</v>
      </c>
      <c r="G367" s="0" t="n">
        <f aca="false">INDEX(마스터!$E:$E,MATCH(C367,마스터!$A:$A,0))</f>
        <v>6360</v>
      </c>
      <c r="H367" s="0" t="n">
        <f aca="false">D367*G367</f>
        <v>36506400</v>
      </c>
    </row>
    <row r="368" customFormat="false" ht="15" hidden="false" customHeight="false" outlineLevel="0" collapsed="false">
      <c r="A368" s="0" t="s">
        <v>91</v>
      </c>
      <c r="B368" s="1" t="s">
        <v>25</v>
      </c>
      <c r="C368" s="1" t="s">
        <v>37</v>
      </c>
      <c r="D368" s="0" t="n">
        <v>5010</v>
      </c>
      <c r="E368" s="0" t="n">
        <v>10490</v>
      </c>
      <c r="F368" s="0" t="n">
        <f aca="false">D368*E368</f>
        <v>52554900</v>
      </c>
      <c r="G368" s="0" t="n">
        <f aca="false">INDEX(마스터!$E:$E,MATCH(C368,마스터!$A:$A,0))</f>
        <v>4900</v>
      </c>
      <c r="H368" s="0" t="n">
        <f aca="false">D368*G368</f>
        <v>24549000</v>
      </c>
    </row>
    <row r="369" customFormat="false" ht="15" hidden="false" customHeight="false" outlineLevel="0" collapsed="false">
      <c r="A369" s="0" t="s">
        <v>91</v>
      </c>
      <c r="B369" s="1" t="s">
        <v>25</v>
      </c>
      <c r="C369" s="1" t="s">
        <v>57</v>
      </c>
      <c r="D369" s="0" t="n">
        <v>3850</v>
      </c>
      <c r="E369" s="0" t="n">
        <v>10490</v>
      </c>
      <c r="F369" s="0" t="n">
        <f aca="false">D369*E369</f>
        <v>40386500</v>
      </c>
      <c r="G369" s="0" t="n">
        <f aca="false">INDEX(마스터!$E:$E,MATCH(C369,마스터!$A:$A,0))</f>
        <v>4870</v>
      </c>
      <c r="H369" s="0" t="n">
        <f aca="false">D369*G369</f>
        <v>18749500</v>
      </c>
    </row>
    <row r="370" customFormat="false" ht="15" hidden="false" customHeight="false" outlineLevel="0" collapsed="false">
      <c r="A370" s="0" t="s">
        <v>91</v>
      </c>
      <c r="B370" s="1" t="s">
        <v>24</v>
      </c>
      <c r="C370" s="1" t="s">
        <v>60</v>
      </c>
      <c r="D370" s="0" t="n">
        <v>5200</v>
      </c>
      <c r="E370" s="0" t="n">
        <v>13660</v>
      </c>
      <c r="F370" s="0" t="n">
        <f aca="false">D370*E370</f>
        <v>71032000</v>
      </c>
      <c r="G370" s="0" t="n">
        <f aca="false">INDEX(마스터!$E:$E,MATCH(C370,마스터!$A:$A,0))</f>
        <v>6980</v>
      </c>
      <c r="H370" s="0" t="n">
        <f aca="false">D370*G370</f>
        <v>36296000</v>
      </c>
    </row>
    <row r="371" customFormat="false" ht="15" hidden="false" customHeight="false" outlineLevel="0" collapsed="false">
      <c r="A371" s="0" t="s">
        <v>91</v>
      </c>
      <c r="B371" s="1" t="s">
        <v>24</v>
      </c>
      <c r="C371" s="1" t="s">
        <v>67</v>
      </c>
      <c r="D371" s="0" t="n">
        <v>3660</v>
      </c>
      <c r="E371" s="0" t="n">
        <v>9810</v>
      </c>
      <c r="F371" s="0" t="n">
        <f aca="false">D371*E371</f>
        <v>35904600</v>
      </c>
      <c r="G371" s="0" t="n">
        <f aca="false">INDEX(마스터!$E:$E,MATCH(C371,마스터!$A:$A,0))</f>
        <v>4360</v>
      </c>
      <c r="H371" s="0" t="n">
        <f aca="false">D371*G371</f>
        <v>15957600</v>
      </c>
    </row>
    <row r="372" customFormat="false" ht="15" hidden="false" customHeight="false" outlineLevel="0" collapsed="false">
      <c r="A372" s="0" t="s">
        <v>93</v>
      </c>
      <c r="B372" s="1" t="s">
        <v>14</v>
      </c>
      <c r="C372" s="1" t="s">
        <v>79</v>
      </c>
      <c r="D372" s="0" t="n">
        <v>6320</v>
      </c>
      <c r="E372" s="0" t="n">
        <v>10970</v>
      </c>
      <c r="F372" s="0" t="n">
        <f aca="false">D372*E372</f>
        <v>69330400</v>
      </c>
      <c r="G372" s="0" t="n">
        <f aca="false">INDEX(마스터!$E:$E,MATCH(C372,마스터!$A:$A,0))</f>
        <v>5990</v>
      </c>
      <c r="H372" s="0" t="n">
        <f aca="false">D372*G372</f>
        <v>37856800</v>
      </c>
    </row>
    <row r="373" customFormat="false" ht="15" hidden="false" customHeight="false" outlineLevel="0" collapsed="false">
      <c r="A373" s="0" t="s">
        <v>93</v>
      </c>
      <c r="B373" s="1" t="s">
        <v>14</v>
      </c>
      <c r="C373" s="1" t="s">
        <v>45</v>
      </c>
      <c r="D373" s="0" t="n">
        <v>8630</v>
      </c>
      <c r="E373" s="0" t="n">
        <v>11940</v>
      </c>
      <c r="F373" s="0" t="n">
        <f aca="false">D373*E373</f>
        <v>103042200</v>
      </c>
      <c r="G373" s="0" t="n">
        <f aca="false">INDEX(마스터!$E:$E,MATCH(C373,마스터!$A:$A,0))</f>
        <v>6110</v>
      </c>
      <c r="H373" s="0" t="n">
        <f aca="false">D373*G373</f>
        <v>52729300</v>
      </c>
    </row>
    <row r="374" customFormat="false" ht="15" hidden="false" customHeight="false" outlineLevel="0" collapsed="false">
      <c r="A374" s="0" t="s">
        <v>93</v>
      </c>
      <c r="B374" s="1" t="s">
        <v>14</v>
      </c>
      <c r="C374" s="1" t="s">
        <v>38</v>
      </c>
      <c r="D374" s="0" t="n">
        <v>7110</v>
      </c>
      <c r="E374" s="0" t="n">
        <v>11290</v>
      </c>
      <c r="F374" s="0" t="n">
        <f aca="false">D374*E374</f>
        <v>80271900</v>
      </c>
      <c r="G374" s="0" t="n">
        <f aca="false">INDEX(마스터!$E:$E,MATCH(C374,마스터!$A:$A,0))</f>
        <v>5670</v>
      </c>
      <c r="H374" s="0" t="n">
        <f aca="false">D374*G374</f>
        <v>40313700</v>
      </c>
    </row>
    <row r="375" customFormat="false" ht="15" hidden="false" customHeight="false" outlineLevel="0" collapsed="false">
      <c r="A375" s="0" t="s">
        <v>93</v>
      </c>
      <c r="B375" s="1" t="s">
        <v>14</v>
      </c>
      <c r="C375" s="1" t="s">
        <v>34</v>
      </c>
      <c r="D375" s="0" t="n">
        <v>7620</v>
      </c>
      <c r="E375" s="0" t="n">
        <v>11940</v>
      </c>
      <c r="F375" s="0" t="n">
        <f aca="false">D375*E375</f>
        <v>90982800</v>
      </c>
      <c r="G375" s="0" t="n">
        <f aca="false">INDEX(마스터!$E:$E,MATCH(C375,마스터!$A:$A,0))</f>
        <v>6630</v>
      </c>
      <c r="H375" s="0" t="n">
        <f aca="false">D375*G375</f>
        <v>50520600</v>
      </c>
    </row>
    <row r="376" customFormat="false" ht="15" hidden="false" customHeight="false" outlineLevel="0" collapsed="false">
      <c r="A376" s="0" t="s">
        <v>93</v>
      </c>
      <c r="B376" s="1" t="s">
        <v>14</v>
      </c>
      <c r="C376" s="1" t="s">
        <v>66</v>
      </c>
      <c r="D376" s="0" t="n">
        <v>15310</v>
      </c>
      <c r="E376" s="0" t="n">
        <v>11940</v>
      </c>
      <c r="F376" s="0" t="n">
        <f aca="false">D376*E376</f>
        <v>182801400</v>
      </c>
      <c r="G376" s="0" t="n">
        <f aca="false">INDEX(마스터!$E:$E,MATCH(C376,마스터!$A:$A,0))</f>
        <v>6360</v>
      </c>
      <c r="H376" s="0" t="n">
        <f aca="false">D376*G376</f>
        <v>97371600</v>
      </c>
    </row>
    <row r="377" customFormat="false" ht="15" hidden="false" customHeight="false" outlineLevel="0" collapsed="false">
      <c r="A377" s="0" t="s">
        <v>93</v>
      </c>
      <c r="B377" s="1" t="s">
        <v>15</v>
      </c>
      <c r="C377" s="1" t="s">
        <v>77</v>
      </c>
      <c r="D377" s="0" t="n">
        <v>7580</v>
      </c>
      <c r="E377" s="0" t="n">
        <v>11040</v>
      </c>
      <c r="F377" s="0" t="n">
        <f aca="false">D377*E377</f>
        <v>83683200</v>
      </c>
      <c r="G377" s="0" t="n">
        <f aca="false">INDEX(마스터!$E:$E,MATCH(C377,마스터!$A:$A,0))</f>
        <v>5380</v>
      </c>
      <c r="H377" s="0" t="n">
        <f aca="false">D377*G377</f>
        <v>40780400</v>
      </c>
    </row>
    <row r="378" customFormat="false" ht="15" hidden="false" customHeight="false" outlineLevel="0" collapsed="false">
      <c r="A378" s="0" t="s">
        <v>93</v>
      </c>
      <c r="B378" s="1" t="s">
        <v>15</v>
      </c>
      <c r="C378" s="1" t="s">
        <v>48</v>
      </c>
      <c r="D378" s="0" t="n">
        <v>6650</v>
      </c>
      <c r="E378" s="0" t="n">
        <v>12010</v>
      </c>
      <c r="F378" s="0" t="n">
        <f aca="false">D378*E378</f>
        <v>79866500</v>
      </c>
      <c r="G378" s="0" t="n">
        <f aca="false">INDEX(마스터!$E:$E,MATCH(C378,마스터!$A:$A,0))</f>
        <v>6440</v>
      </c>
      <c r="H378" s="0" t="n">
        <f aca="false">D378*G378</f>
        <v>42826000</v>
      </c>
    </row>
    <row r="379" customFormat="false" ht="15" hidden="false" customHeight="false" outlineLevel="0" collapsed="false">
      <c r="A379" s="0" t="s">
        <v>93</v>
      </c>
      <c r="B379" s="1" t="s">
        <v>15</v>
      </c>
      <c r="C379" s="1" t="s">
        <v>51</v>
      </c>
      <c r="D379" s="0" t="n">
        <v>5610</v>
      </c>
      <c r="E379" s="0" t="n">
        <v>13310</v>
      </c>
      <c r="F379" s="0" t="n">
        <f aca="false">D379*E379</f>
        <v>74669100</v>
      </c>
      <c r="G379" s="0" t="n">
        <f aca="false">INDEX(마스터!$E:$E,MATCH(C379,마스터!$A:$A,0))</f>
        <v>7480</v>
      </c>
      <c r="H379" s="0" t="n">
        <f aca="false">D379*G379</f>
        <v>41962800</v>
      </c>
    </row>
    <row r="380" customFormat="false" ht="15" hidden="false" customHeight="false" outlineLevel="0" collapsed="false">
      <c r="A380" s="0" t="s">
        <v>93</v>
      </c>
      <c r="B380" s="1" t="s">
        <v>15</v>
      </c>
      <c r="C380" s="1" t="s">
        <v>66</v>
      </c>
      <c r="D380" s="0" t="n">
        <v>10410</v>
      </c>
      <c r="E380" s="0" t="n">
        <v>12010</v>
      </c>
      <c r="F380" s="0" t="n">
        <f aca="false">D380*E380</f>
        <v>125024100</v>
      </c>
      <c r="G380" s="0" t="n">
        <f aca="false">INDEX(마스터!$E:$E,MATCH(C380,마스터!$A:$A,0))</f>
        <v>6360</v>
      </c>
      <c r="H380" s="0" t="n">
        <f aca="false">D380*G380</f>
        <v>66207600</v>
      </c>
    </row>
    <row r="381" customFormat="false" ht="15" hidden="false" customHeight="false" outlineLevel="0" collapsed="false">
      <c r="A381" s="0" t="s">
        <v>93</v>
      </c>
      <c r="B381" s="1" t="s">
        <v>15</v>
      </c>
      <c r="C381" s="1" t="s">
        <v>35</v>
      </c>
      <c r="D381" s="0" t="n">
        <v>5680</v>
      </c>
      <c r="E381" s="0" t="n">
        <v>9740</v>
      </c>
      <c r="F381" s="0" t="n">
        <f aca="false">D381*E381</f>
        <v>55323200</v>
      </c>
      <c r="G381" s="0" t="n">
        <f aca="false">INDEX(마스터!$E:$E,MATCH(C381,마스터!$A:$A,0))</f>
        <v>4920</v>
      </c>
      <c r="H381" s="0" t="n">
        <f aca="false">D381*G381</f>
        <v>27945600</v>
      </c>
    </row>
    <row r="382" customFormat="false" ht="15" hidden="false" customHeight="false" outlineLevel="0" collapsed="false">
      <c r="A382" s="0" t="s">
        <v>93</v>
      </c>
      <c r="B382" s="1" t="s">
        <v>15</v>
      </c>
      <c r="C382" s="1" t="s">
        <v>40</v>
      </c>
      <c r="D382" s="0" t="n">
        <v>4970</v>
      </c>
      <c r="E382" s="0" t="n">
        <v>9090</v>
      </c>
      <c r="F382" s="0" t="n">
        <f aca="false">D382*E382</f>
        <v>45177300</v>
      </c>
      <c r="G382" s="0" t="n">
        <f aca="false">INDEX(마스터!$E:$E,MATCH(C382,마스터!$A:$A,0))</f>
        <v>4740</v>
      </c>
      <c r="H382" s="0" t="n">
        <f aca="false">D382*G382</f>
        <v>23557800</v>
      </c>
    </row>
    <row r="383" customFormat="false" ht="15" hidden="false" customHeight="false" outlineLevel="0" collapsed="false">
      <c r="A383" s="0" t="s">
        <v>93</v>
      </c>
      <c r="B383" s="1" t="s">
        <v>16</v>
      </c>
      <c r="C383" s="1" t="s">
        <v>34</v>
      </c>
      <c r="D383" s="0" t="n">
        <v>5160</v>
      </c>
      <c r="E383" s="0" t="n">
        <v>13140</v>
      </c>
      <c r="F383" s="0" t="n">
        <f aca="false">D383*E383</f>
        <v>67802400</v>
      </c>
      <c r="G383" s="0" t="n">
        <f aca="false">INDEX(마스터!$E:$E,MATCH(C383,마스터!$A:$A,0))</f>
        <v>6630</v>
      </c>
      <c r="H383" s="0" t="n">
        <f aca="false">D383*G383</f>
        <v>34210800</v>
      </c>
    </row>
    <row r="384" customFormat="false" ht="15" hidden="false" customHeight="false" outlineLevel="0" collapsed="false">
      <c r="A384" s="0" t="s">
        <v>93</v>
      </c>
      <c r="B384" s="1" t="s">
        <v>16</v>
      </c>
      <c r="C384" s="1" t="s">
        <v>65</v>
      </c>
      <c r="D384" s="0" t="n">
        <v>4560</v>
      </c>
      <c r="E384" s="0" t="n">
        <v>14560</v>
      </c>
      <c r="F384" s="0" t="n">
        <f aca="false">D384*E384</f>
        <v>66393600</v>
      </c>
      <c r="G384" s="0" t="n">
        <f aca="false">INDEX(마스터!$E:$E,MATCH(C384,마스터!$A:$A,0))</f>
        <v>6670</v>
      </c>
      <c r="H384" s="0" t="n">
        <f aca="false">D384*G384</f>
        <v>30415200</v>
      </c>
    </row>
    <row r="385" customFormat="false" ht="15" hidden="false" customHeight="false" outlineLevel="0" collapsed="false">
      <c r="A385" s="0" t="s">
        <v>93</v>
      </c>
      <c r="B385" s="1" t="s">
        <v>16</v>
      </c>
      <c r="C385" s="1" t="s">
        <v>72</v>
      </c>
      <c r="D385" s="0" t="n">
        <v>7820</v>
      </c>
      <c r="E385" s="0" t="n">
        <v>12430</v>
      </c>
      <c r="F385" s="0" t="n">
        <f aca="false">D385*E385</f>
        <v>97202600</v>
      </c>
      <c r="G385" s="0" t="n">
        <f aca="false">INDEX(마스터!$E:$E,MATCH(C385,마스터!$A:$A,0))</f>
        <v>5920</v>
      </c>
      <c r="H385" s="0" t="n">
        <f aca="false">D385*G385</f>
        <v>46294400</v>
      </c>
    </row>
    <row r="386" customFormat="false" ht="15" hidden="false" customHeight="false" outlineLevel="0" collapsed="false">
      <c r="A386" s="0" t="s">
        <v>93</v>
      </c>
      <c r="B386" s="1" t="s">
        <v>16</v>
      </c>
      <c r="C386" s="1" t="s">
        <v>66</v>
      </c>
      <c r="D386" s="0" t="n">
        <v>9750</v>
      </c>
      <c r="E386" s="0" t="n">
        <v>13140</v>
      </c>
      <c r="F386" s="0" t="n">
        <f aca="false">D386*E386</f>
        <v>128115000</v>
      </c>
      <c r="G386" s="0" t="n">
        <f aca="false">INDEX(마스터!$E:$E,MATCH(C386,마스터!$A:$A,0))</f>
        <v>6360</v>
      </c>
      <c r="H386" s="0" t="n">
        <f aca="false">D386*G386</f>
        <v>62010000</v>
      </c>
    </row>
    <row r="387" customFormat="false" ht="15" hidden="false" customHeight="false" outlineLevel="0" collapsed="false">
      <c r="A387" s="0" t="s">
        <v>93</v>
      </c>
      <c r="B387" s="1" t="s">
        <v>16</v>
      </c>
      <c r="C387" s="1" t="s">
        <v>76</v>
      </c>
      <c r="D387" s="0" t="n">
        <v>5100</v>
      </c>
      <c r="E387" s="0" t="n">
        <v>9590</v>
      </c>
      <c r="F387" s="0" t="n">
        <f aca="false">D387*E387</f>
        <v>48909000</v>
      </c>
      <c r="G387" s="0" t="n">
        <f aca="false">INDEX(마스터!$E:$E,MATCH(C387,마스터!$A:$A,0))</f>
        <v>4150</v>
      </c>
      <c r="H387" s="0" t="n">
        <f aca="false">D387*G387</f>
        <v>21165000</v>
      </c>
    </row>
    <row r="388" customFormat="false" ht="15" hidden="false" customHeight="false" outlineLevel="0" collapsed="false">
      <c r="A388" s="0" t="s">
        <v>93</v>
      </c>
      <c r="B388" s="1" t="s">
        <v>17</v>
      </c>
      <c r="C388" s="1" t="s">
        <v>79</v>
      </c>
      <c r="D388" s="0" t="n">
        <v>2960</v>
      </c>
      <c r="E388" s="0" t="n">
        <v>10950</v>
      </c>
      <c r="F388" s="0" t="n">
        <f aca="false">D388*E388</f>
        <v>32412000</v>
      </c>
      <c r="G388" s="0" t="n">
        <f aca="false">INDEX(마스터!$E:$E,MATCH(C388,마스터!$A:$A,0))</f>
        <v>5990</v>
      </c>
      <c r="H388" s="0" t="n">
        <f aca="false">D388*G388</f>
        <v>17730400</v>
      </c>
    </row>
    <row r="389" customFormat="false" ht="15" hidden="false" customHeight="false" outlineLevel="0" collapsed="false">
      <c r="A389" s="0" t="s">
        <v>93</v>
      </c>
      <c r="B389" s="1" t="s">
        <v>17</v>
      </c>
      <c r="C389" s="1" t="s">
        <v>41</v>
      </c>
      <c r="D389" s="0" t="n">
        <v>5100</v>
      </c>
      <c r="E389" s="0" t="n">
        <v>10950</v>
      </c>
      <c r="F389" s="0" t="n">
        <f aca="false">D389*E389</f>
        <v>55845000</v>
      </c>
      <c r="G389" s="0" t="n">
        <f aca="false">INDEX(마스터!$E:$E,MATCH(C389,마스터!$A:$A,0))</f>
        <v>5480</v>
      </c>
      <c r="H389" s="0" t="n">
        <f aca="false">D389*G389</f>
        <v>27948000</v>
      </c>
    </row>
    <row r="390" customFormat="false" ht="15" hidden="false" customHeight="false" outlineLevel="0" collapsed="false">
      <c r="A390" s="0" t="s">
        <v>93</v>
      </c>
      <c r="B390" s="1" t="s">
        <v>17</v>
      </c>
      <c r="C390" s="1" t="s">
        <v>63</v>
      </c>
      <c r="D390" s="0" t="n">
        <v>5010</v>
      </c>
      <c r="E390" s="0" t="n">
        <v>10620</v>
      </c>
      <c r="F390" s="0" t="n">
        <f aca="false">D390*E390</f>
        <v>53206200</v>
      </c>
      <c r="G390" s="0" t="n">
        <f aca="false">INDEX(마스터!$E:$E,MATCH(C390,마스터!$A:$A,0))</f>
        <v>5290</v>
      </c>
      <c r="H390" s="0" t="n">
        <f aca="false">D390*G390</f>
        <v>26502900</v>
      </c>
    </row>
    <row r="391" customFormat="false" ht="15" hidden="false" customHeight="false" outlineLevel="0" collapsed="false">
      <c r="A391" s="0" t="s">
        <v>93</v>
      </c>
      <c r="B391" s="1" t="s">
        <v>17</v>
      </c>
      <c r="C391" s="1" t="s">
        <v>65</v>
      </c>
      <c r="D391" s="0" t="n">
        <v>2610</v>
      </c>
      <c r="E391" s="0" t="n">
        <v>13200</v>
      </c>
      <c r="F391" s="0" t="n">
        <f aca="false">D391*E391</f>
        <v>34452000</v>
      </c>
      <c r="G391" s="0" t="n">
        <f aca="false">INDEX(마스터!$E:$E,MATCH(C391,마스터!$A:$A,0))</f>
        <v>6670</v>
      </c>
      <c r="H391" s="0" t="n">
        <f aca="false">D391*G391</f>
        <v>17408700</v>
      </c>
    </row>
    <row r="392" customFormat="false" ht="15" hidden="false" customHeight="false" outlineLevel="0" collapsed="false">
      <c r="A392" s="0" t="s">
        <v>93</v>
      </c>
      <c r="B392" s="1" t="s">
        <v>17</v>
      </c>
      <c r="C392" s="1" t="s">
        <v>81</v>
      </c>
      <c r="D392" s="0" t="n">
        <v>3640</v>
      </c>
      <c r="E392" s="0" t="n">
        <v>11590</v>
      </c>
      <c r="F392" s="0" t="n">
        <f aca="false">D392*E392</f>
        <v>42187600</v>
      </c>
      <c r="G392" s="0" t="n">
        <f aca="false">INDEX(마스터!$E:$E,MATCH(C392,마스터!$A:$A,0))</f>
        <v>6220</v>
      </c>
      <c r="H392" s="0" t="n">
        <f aca="false">D392*G392</f>
        <v>22640800</v>
      </c>
    </row>
    <row r="393" customFormat="false" ht="15" hidden="false" customHeight="false" outlineLevel="0" collapsed="false">
      <c r="A393" s="0" t="s">
        <v>93</v>
      </c>
      <c r="B393" s="1" t="s">
        <v>17</v>
      </c>
      <c r="C393" s="1" t="s">
        <v>66</v>
      </c>
      <c r="D393" s="0" t="n">
        <v>6760</v>
      </c>
      <c r="E393" s="0" t="n">
        <v>11910</v>
      </c>
      <c r="F393" s="0" t="n">
        <f aca="false">D393*E393</f>
        <v>80511600</v>
      </c>
      <c r="G393" s="0" t="n">
        <f aca="false">INDEX(마스터!$E:$E,MATCH(C393,마스터!$A:$A,0))</f>
        <v>6360</v>
      </c>
      <c r="H393" s="0" t="n">
        <f aca="false">D393*G393</f>
        <v>42993600</v>
      </c>
    </row>
    <row r="394" customFormat="false" ht="15" hidden="false" customHeight="false" outlineLevel="0" collapsed="false">
      <c r="A394" s="0" t="s">
        <v>93</v>
      </c>
      <c r="B394" s="1" t="s">
        <v>18</v>
      </c>
      <c r="C394" s="1" t="s">
        <v>58</v>
      </c>
      <c r="D394" s="0" t="n">
        <v>6950</v>
      </c>
      <c r="E394" s="0" t="n">
        <v>12040</v>
      </c>
      <c r="F394" s="0" t="n">
        <f aca="false">D394*E394</f>
        <v>83678000</v>
      </c>
      <c r="G394" s="0" t="n">
        <f aca="false">INDEX(마스터!$E:$E,MATCH(C394,마스터!$A:$A,0))</f>
        <v>5720</v>
      </c>
      <c r="H394" s="0" t="n">
        <f aca="false">D394*G394</f>
        <v>39754000</v>
      </c>
    </row>
    <row r="395" customFormat="false" ht="15" hidden="false" customHeight="false" outlineLevel="0" collapsed="false">
      <c r="A395" s="0" t="s">
        <v>93</v>
      </c>
      <c r="B395" s="1" t="s">
        <v>18</v>
      </c>
      <c r="C395" s="1" t="s">
        <v>34</v>
      </c>
      <c r="D395" s="0" t="n">
        <v>5060</v>
      </c>
      <c r="E395" s="0" t="n">
        <v>13110</v>
      </c>
      <c r="F395" s="0" t="n">
        <f aca="false">D395*E395</f>
        <v>66336600</v>
      </c>
      <c r="G395" s="0" t="n">
        <f aca="false">INDEX(마스터!$E:$E,MATCH(C395,마스터!$A:$A,0))</f>
        <v>6630</v>
      </c>
      <c r="H395" s="0" t="n">
        <f aca="false">D395*G395</f>
        <v>33547800</v>
      </c>
    </row>
    <row r="396" customFormat="false" ht="15" hidden="false" customHeight="false" outlineLevel="0" collapsed="false">
      <c r="A396" s="0" t="s">
        <v>93</v>
      </c>
      <c r="B396" s="1" t="s">
        <v>18</v>
      </c>
      <c r="C396" s="1" t="s">
        <v>65</v>
      </c>
      <c r="D396" s="0" t="n">
        <v>3940</v>
      </c>
      <c r="E396" s="0" t="n">
        <v>14520</v>
      </c>
      <c r="F396" s="0" t="n">
        <f aca="false">D396*E396</f>
        <v>57208800</v>
      </c>
      <c r="G396" s="0" t="n">
        <f aca="false">INDEX(마스터!$E:$E,MATCH(C396,마스터!$A:$A,0))</f>
        <v>6670</v>
      </c>
      <c r="H396" s="0" t="n">
        <f aca="false">D396*G396</f>
        <v>26279800</v>
      </c>
    </row>
    <row r="397" customFormat="false" ht="15" hidden="false" customHeight="false" outlineLevel="0" collapsed="false">
      <c r="A397" s="0" t="s">
        <v>93</v>
      </c>
      <c r="B397" s="1" t="s">
        <v>18</v>
      </c>
      <c r="C397" s="1" t="s">
        <v>76</v>
      </c>
      <c r="D397" s="0" t="n">
        <v>4790</v>
      </c>
      <c r="E397" s="0" t="n">
        <v>9560</v>
      </c>
      <c r="F397" s="0" t="n">
        <f aca="false">D397*E397</f>
        <v>45792400</v>
      </c>
      <c r="G397" s="0" t="n">
        <f aca="false">INDEX(마스터!$E:$E,MATCH(C397,마스터!$A:$A,0))</f>
        <v>4150</v>
      </c>
      <c r="H397" s="0" t="n">
        <f aca="false">D397*G397</f>
        <v>19878500</v>
      </c>
    </row>
    <row r="398" customFormat="false" ht="15" hidden="false" customHeight="false" outlineLevel="0" collapsed="false">
      <c r="A398" s="0" t="s">
        <v>93</v>
      </c>
      <c r="B398" s="1" t="s">
        <v>19</v>
      </c>
      <c r="C398" s="1" t="s">
        <v>59</v>
      </c>
      <c r="D398" s="0" t="n">
        <v>3710</v>
      </c>
      <c r="E398" s="0" t="n">
        <v>12970</v>
      </c>
      <c r="F398" s="0" t="n">
        <f aca="false">D398*E398</f>
        <v>48118700</v>
      </c>
      <c r="G398" s="0" t="n">
        <f aca="false">INDEX(마스터!$E:$E,MATCH(C398,마스터!$A:$A,0))</f>
        <v>6520</v>
      </c>
      <c r="H398" s="0" t="n">
        <f aca="false">D398*G398</f>
        <v>24189200</v>
      </c>
    </row>
    <row r="399" customFormat="false" ht="15" hidden="false" customHeight="false" outlineLevel="0" collapsed="false">
      <c r="A399" s="0" t="s">
        <v>93</v>
      </c>
      <c r="B399" s="1" t="s">
        <v>19</v>
      </c>
      <c r="C399" s="1" t="s">
        <v>64</v>
      </c>
      <c r="D399" s="0" t="n">
        <v>3470</v>
      </c>
      <c r="E399" s="0" t="n">
        <v>11670</v>
      </c>
      <c r="F399" s="0" t="n">
        <f aca="false">D399*E399</f>
        <v>40494900</v>
      </c>
      <c r="G399" s="0" t="n">
        <f aca="false">INDEX(마스터!$E:$E,MATCH(C399,마스터!$A:$A,0))</f>
        <v>5890</v>
      </c>
      <c r="H399" s="0" t="n">
        <f aca="false">D399*G399</f>
        <v>20438300</v>
      </c>
    </row>
    <row r="400" customFormat="false" ht="15" hidden="false" customHeight="false" outlineLevel="0" collapsed="false">
      <c r="A400" s="0" t="s">
        <v>93</v>
      </c>
      <c r="B400" s="1" t="s">
        <v>19</v>
      </c>
      <c r="C400" s="1" t="s">
        <v>54</v>
      </c>
      <c r="D400" s="0" t="n">
        <v>3110</v>
      </c>
      <c r="E400" s="0" t="n">
        <v>12320</v>
      </c>
      <c r="F400" s="0" t="n">
        <f aca="false">D400*E400</f>
        <v>38315200</v>
      </c>
      <c r="G400" s="0" t="n">
        <f aca="false">INDEX(마스터!$E:$E,MATCH(C400,마스터!$A:$A,0))</f>
        <v>6790</v>
      </c>
      <c r="H400" s="0" t="n">
        <f aca="false">D400*G400</f>
        <v>21116900</v>
      </c>
    </row>
    <row r="401" customFormat="false" ht="15" hidden="false" customHeight="false" outlineLevel="0" collapsed="false">
      <c r="A401" s="0" t="s">
        <v>93</v>
      </c>
      <c r="B401" s="1" t="s">
        <v>19</v>
      </c>
      <c r="C401" s="1" t="s">
        <v>42</v>
      </c>
      <c r="D401" s="0" t="n">
        <v>4730</v>
      </c>
      <c r="E401" s="0" t="n">
        <v>12320</v>
      </c>
      <c r="F401" s="0" t="n">
        <f aca="false">D401*E401</f>
        <v>58273600</v>
      </c>
      <c r="G401" s="0" t="n">
        <f aca="false">INDEX(마스터!$E:$E,MATCH(C401,마스터!$A:$A,0))</f>
        <v>6730</v>
      </c>
      <c r="H401" s="0" t="n">
        <f aca="false">D401*G401</f>
        <v>31832900</v>
      </c>
    </row>
    <row r="402" customFormat="false" ht="15" hidden="false" customHeight="false" outlineLevel="0" collapsed="false">
      <c r="A402" s="0" t="s">
        <v>93</v>
      </c>
      <c r="B402" s="1" t="s">
        <v>19</v>
      </c>
      <c r="C402" s="1" t="s">
        <v>35</v>
      </c>
      <c r="D402" s="0" t="n">
        <v>2570</v>
      </c>
      <c r="E402" s="0" t="n">
        <v>9730</v>
      </c>
      <c r="F402" s="0" t="n">
        <f aca="false">D402*E402</f>
        <v>25006100</v>
      </c>
      <c r="G402" s="0" t="n">
        <f aca="false">INDEX(마스터!$E:$E,MATCH(C402,마스터!$A:$A,0))</f>
        <v>4920</v>
      </c>
      <c r="H402" s="0" t="n">
        <f aca="false">D402*G402</f>
        <v>12644400</v>
      </c>
    </row>
    <row r="403" customFormat="false" ht="15" hidden="false" customHeight="false" outlineLevel="0" collapsed="false">
      <c r="A403" s="0" t="s">
        <v>93</v>
      </c>
      <c r="B403" s="1" t="s">
        <v>20</v>
      </c>
      <c r="C403" s="1" t="s">
        <v>61</v>
      </c>
      <c r="D403" s="0" t="n">
        <v>4060</v>
      </c>
      <c r="E403" s="0" t="n">
        <v>11050</v>
      </c>
      <c r="F403" s="0" t="n">
        <f aca="false">D403*E403</f>
        <v>44863000</v>
      </c>
      <c r="G403" s="0" t="n">
        <f aca="false">INDEX(마스터!$E:$E,MATCH(C403,마스터!$A:$A,0))</f>
        <v>5390</v>
      </c>
      <c r="H403" s="0" t="n">
        <f aca="false">D403*G403</f>
        <v>21883400</v>
      </c>
    </row>
    <row r="404" customFormat="false" ht="15" hidden="false" customHeight="false" outlineLevel="0" collapsed="false">
      <c r="A404" s="0" t="s">
        <v>93</v>
      </c>
      <c r="B404" s="1" t="s">
        <v>20</v>
      </c>
      <c r="C404" s="1" t="s">
        <v>54</v>
      </c>
      <c r="D404" s="0" t="n">
        <v>2690</v>
      </c>
      <c r="E404" s="0" t="n">
        <v>13540</v>
      </c>
      <c r="F404" s="0" t="n">
        <f aca="false">D404*E404</f>
        <v>36422600</v>
      </c>
      <c r="G404" s="0" t="n">
        <f aca="false">INDEX(마스터!$E:$E,MATCH(C404,마스터!$A:$A,0))</f>
        <v>6790</v>
      </c>
      <c r="H404" s="0" t="n">
        <f aca="false">D404*G404</f>
        <v>18265100</v>
      </c>
    </row>
    <row r="405" customFormat="false" ht="15" hidden="false" customHeight="false" outlineLevel="0" collapsed="false">
      <c r="A405" s="0" t="s">
        <v>93</v>
      </c>
      <c r="B405" s="1" t="s">
        <v>20</v>
      </c>
      <c r="C405" s="1" t="s">
        <v>65</v>
      </c>
      <c r="D405" s="0" t="n">
        <v>3190</v>
      </c>
      <c r="E405" s="0" t="n">
        <v>14610</v>
      </c>
      <c r="F405" s="0" t="n">
        <f aca="false">D405*E405</f>
        <v>46605900</v>
      </c>
      <c r="G405" s="0" t="n">
        <f aca="false">INDEX(마스터!$E:$E,MATCH(C405,마스터!$A:$A,0))</f>
        <v>6670</v>
      </c>
      <c r="H405" s="0" t="n">
        <f aca="false">D405*G405</f>
        <v>21277300</v>
      </c>
    </row>
    <row r="406" customFormat="false" ht="15" hidden="false" customHeight="false" outlineLevel="0" collapsed="false">
      <c r="A406" s="0" t="s">
        <v>93</v>
      </c>
      <c r="B406" s="1" t="s">
        <v>20</v>
      </c>
      <c r="C406" s="1" t="s">
        <v>44</v>
      </c>
      <c r="D406" s="0" t="n">
        <v>2460</v>
      </c>
      <c r="E406" s="0" t="n">
        <v>12120</v>
      </c>
      <c r="F406" s="0" t="n">
        <f aca="false">D406*E406</f>
        <v>29815200</v>
      </c>
      <c r="G406" s="0" t="n">
        <f aca="false">INDEX(마스터!$E:$E,MATCH(C406,마스터!$A:$A,0))</f>
        <v>5500</v>
      </c>
      <c r="H406" s="0" t="n">
        <f aca="false">D406*G406</f>
        <v>13530000</v>
      </c>
    </row>
    <row r="407" customFormat="false" ht="15" hidden="false" customHeight="false" outlineLevel="0" collapsed="false">
      <c r="A407" s="0" t="s">
        <v>93</v>
      </c>
      <c r="B407" s="1" t="s">
        <v>21</v>
      </c>
      <c r="C407" s="1" t="s">
        <v>54</v>
      </c>
      <c r="D407" s="0" t="n">
        <v>3700</v>
      </c>
      <c r="E407" s="0" t="n">
        <v>13300</v>
      </c>
      <c r="F407" s="0" t="n">
        <f aca="false">D407*E407</f>
        <v>49210000</v>
      </c>
      <c r="G407" s="0" t="n">
        <f aca="false">INDEX(마스터!$E:$E,MATCH(C407,마스터!$A:$A,0))</f>
        <v>6790</v>
      </c>
      <c r="H407" s="0" t="n">
        <f aca="false">D407*G407</f>
        <v>25123000</v>
      </c>
    </row>
    <row r="408" customFormat="false" ht="15" hidden="false" customHeight="false" outlineLevel="0" collapsed="false">
      <c r="A408" s="0" t="s">
        <v>93</v>
      </c>
      <c r="B408" s="1" t="s">
        <v>21</v>
      </c>
      <c r="C408" s="1" t="s">
        <v>56</v>
      </c>
      <c r="D408" s="0" t="n">
        <v>3520</v>
      </c>
      <c r="E408" s="0" t="n">
        <v>10850</v>
      </c>
      <c r="F408" s="0" t="n">
        <f aca="false">D408*E408</f>
        <v>38192000</v>
      </c>
      <c r="G408" s="0" t="n">
        <f aca="false">INDEX(마스터!$E:$E,MATCH(C408,마스터!$A:$A,0))</f>
        <v>5470</v>
      </c>
      <c r="H408" s="0" t="n">
        <f aca="false">D408*G408</f>
        <v>19254400</v>
      </c>
    </row>
    <row r="409" customFormat="false" ht="15" hidden="false" customHeight="false" outlineLevel="0" collapsed="false">
      <c r="A409" s="0" t="s">
        <v>93</v>
      </c>
      <c r="B409" s="1" t="s">
        <v>21</v>
      </c>
      <c r="C409" s="1" t="s">
        <v>36</v>
      </c>
      <c r="D409" s="0" t="n">
        <v>4730</v>
      </c>
      <c r="E409" s="0" t="n">
        <v>10150</v>
      </c>
      <c r="F409" s="0" t="n">
        <f aca="false">D409*E409</f>
        <v>48009500</v>
      </c>
      <c r="G409" s="0" t="n">
        <f aca="false">INDEX(마스터!$E:$E,MATCH(C409,마스터!$A:$A,0))</f>
        <v>4540</v>
      </c>
      <c r="H409" s="0" t="n">
        <f aca="false">D409*G409</f>
        <v>21474200</v>
      </c>
    </row>
    <row r="410" customFormat="false" ht="15" hidden="false" customHeight="false" outlineLevel="0" collapsed="false">
      <c r="A410" s="0" t="s">
        <v>93</v>
      </c>
      <c r="B410" s="1" t="s">
        <v>22</v>
      </c>
      <c r="C410" s="1" t="s">
        <v>65</v>
      </c>
      <c r="D410" s="0" t="n">
        <v>4690</v>
      </c>
      <c r="E410" s="0" t="n">
        <v>14420</v>
      </c>
      <c r="F410" s="0" t="n">
        <f aca="false">D410*E410</f>
        <v>67629800</v>
      </c>
      <c r="G410" s="0" t="n">
        <f aca="false">INDEX(마스터!$E:$E,MATCH(C410,마스터!$A:$A,0))</f>
        <v>6670</v>
      </c>
      <c r="H410" s="0" t="n">
        <f aca="false">D410*G410</f>
        <v>31282300</v>
      </c>
    </row>
    <row r="411" customFormat="false" ht="15" hidden="false" customHeight="false" outlineLevel="0" collapsed="false">
      <c r="A411" s="0" t="s">
        <v>93</v>
      </c>
      <c r="B411" s="1" t="s">
        <v>22</v>
      </c>
      <c r="C411" s="1" t="s">
        <v>36</v>
      </c>
      <c r="D411" s="0" t="n">
        <v>5230</v>
      </c>
      <c r="E411" s="0" t="n">
        <v>10200</v>
      </c>
      <c r="F411" s="0" t="n">
        <f aca="false">D411*E411</f>
        <v>53346000</v>
      </c>
      <c r="G411" s="0" t="n">
        <f aca="false">INDEX(마스터!$E:$E,MATCH(C411,마스터!$A:$A,0))</f>
        <v>4540</v>
      </c>
      <c r="H411" s="0" t="n">
        <f aca="false">D411*G411</f>
        <v>23744200</v>
      </c>
    </row>
    <row r="412" customFormat="false" ht="15" hidden="false" customHeight="false" outlineLevel="0" collapsed="false">
      <c r="A412" s="0" t="s">
        <v>93</v>
      </c>
      <c r="B412" s="1" t="s">
        <v>23</v>
      </c>
      <c r="C412" s="1" t="s">
        <v>86</v>
      </c>
      <c r="D412" s="0" t="n">
        <v>3940</v>
      </c>
      <c r="E412" s="0" t="n">
        <v>12900</v>
      </c>
      <c r="F412" s="0" t="n">
        <f aca="false">D412*E412</f>
        <v>50826000</v>
      </c>
      <c r="G412" s="0" t="n">
        <f aca="false">INDEX(마스터!$E:$E,MATCH(C412,마스터!$A:$A,0))</f>
        <v>6430</v>
      </c>
      <c r="H412" s="0" t="n">
        <f aca="false">D412*G412</f>
        <v>25334200</v>
      </c>
    </row>
    <row r="413" customFormat="false" ht="15" hidden="false" customHeight="false" outlineLevel="0" collapsed="false">
      <c r="A413" s="0" t="s">
        <v>93</v>
      </c>
      <c r="B413" s="1" t="s">
        <v>23</v>
      </c>
      <c r="C413" s="1" t="s">
        <v>59</v>
      </c>
      <c r="D413" s="0" t="n">
        <v>4860</v>
      </c>
      <c r="E413" s="0" t="n">
        <v>13950</v>
      </c>
      <c r="F413" s="0" t="n">
        <f aca="false">D413*E413</f>
        <v>67797000</v>
      </c>
      <c r="G413" s="0" t="n">
        <f aca="false">INDEX(마스터!$E:$E,MATCH(C413,마스터!$A:$A,0))</f>
        <v>6520</v>
      </c>
      <c r="H413" s="0" t="n">
        <f aca="false">D413*G413</f>
        <v>31687200</v>
      </c>
    </row>
    <row r="414" customFormat="false" ht="15" hidden="false" customHeight="false" outlineLevel="0" collapsed="false">
      <c r="A414" s="0" t="s">
        <v>93</v>
      </c>
      <c r="B414" s="1" t="s">
        <v>25</v>
      </c>
      <c r="C414" s="1" t="s">
        <v>60</v>
      </c>
      <c r="D414" s="0" t="n">
        <v>3940</v>
      </c>
      <c r="E414" s="0" t="n">
        <v>13650</v>
      </c>
      <c r="F414" s="0" t="n">
        <f aca="false">D414*E414</f>
        <v>53781000</v>
      </c>
      <c r="G414" s="0" t="n">
        <f aca="false">INDEX(마스터!$E:$E,MATCH(C414,마스터!$A:$A,0))</f>
        <v>6980</v>
      </c>
      <c r="H414" s="0" t="n">
        <f aca="false">D414*G414</f>
        <v>27501200</v>
      </c>
    </row>
    <row r="415" customFormat="false" ht="15" hidden="false" customHeight="false" outlineLevel="0" collapsed="false">
      <c r="A415" s="0" t="s">
        <v>93</v>
      </c>
      <c r="B415" s="1" t="s">
        <v>25</v>
      </c>
      <c r="C415" s="1" t="s">
        <v>42</v>
      </c>
      <c r="D415" s="0" t="n">
        <v>3280</v>
      </c>
      <c r="E415" s="0" t="n">
        <v>13300</v>
      </c>
      <c r="F415" s="0" t="n">
        <f aca="false">D415*E415</f>
        <v>43624000</v>
      </c>
      <c r="G415" s="0" t="n">
        <f aca="false">INDEX(마스터!$E:$E,MATCH(C415,마스터!$A:$A,0))</f>
        <v>6730</v>
      </c>
      <c r="H415" s="0" t="n">
        <f aca="false">D415*G415</f>
        <v>22074400</v>
      </c>
    </row>
    <row r="416" customFormat="false" ht="15" hidden="false" customHeight="false" outlineLevel="0" collapsed="false">
      <c r="A416" s="0" t="s">
        <v>93</v>
      </c>
      <c r="B416" s="1" t="s">
        <v>24</v>
      </c>
      <c r="C416" s="1" t="s">
        <v>61</v>
      </c>
      <c r="D416" s="0" t="n">
        <v>4030</v>
      </c>
      <c r="E416" s="0" t="n">
        <v>10850</v>
      </c>
      <c r="F416" s="0" t="n">
        <f aca="false">D416*E416</f>
        <v>43725500</v>
      </c>
      <c r="G416" s="0" t="n">
        <f aca="false">INDEX(마스터!$E:$E,MATCH(C416,마스터!$A:$A,0))</f>
        <v>5390</v>
      </c>
      <c r="H416" s="0" t="n">
        <f aca="false">D416*G416</f>
        <v>21721700</v>
      </c>
    </row>
    <row r="417" customFormat="false" ht="15" hidden="false" customHeight="false" outlineLevel="0" collapsed="false">
      <c r="A417" s="0" t="s">
        <v>93</v>
      </c>
      <c r="B417" s="1" t="s">
        <v>24</v>
      </c>
      <c r="C417" s="1" t="s">
        <v>55</v>
      </c>
      <c r="D417" s="0" t="n">
        <v>3190</v>
      </c>
      <c r="E417" s="0" t="n">
        <v>12950</v>
      </c>
      <c r="F417" s="0" t="n">
        <f aca="false">D417*E417</f>
        <v>41310500</v>
      </c>
      <c r="G417" s="0" t="n">
        <f aca="false">INDEX(마스터!$E:$E,MATCH(C417,마스터!$A:$A,0))</f>
        <v>6040</v>
      </c>
      <c r="H417" s="0" t="n">
        <f aca="false">D417*G417</f>
        <v>19267600</v>
      </c>
    </row>
    <row r="418" customFormat="false" ht="15" hidden="false" customHeight="false" outlineLevel="0" collapsed="false">
      <c r="A418" s="0" t="s">
        <v>94</v>
      </c>
      <c r="B418" s="1" t="s">
        <v>14</v>
      </c>
      <c r="C418" s="1" t="s">
        <v>37</v>
      </c>
      <c r="D418" s="0" t="n">
        <v>4530</v>
      </c>
      <c r="E418" s="0" t="n">
        <v>9660</v>
      </c>
      <c r="F418" s="0" t="n">
        <f aca="false">D418*E418</f>
        <v>43759800</v>
      </c>
      <c r="G418" s="0" t="n">
        <f aca="false">INDEX(마스터!$E:$E,MATCH(C418,마스터!$A:$A,0))</f>
        <v>4900</v>
      </c>
      <c r="H418" s="0" t="n">
        <f aca="false">D418*G418</f>
        <v>22197000</v>
      </c>
    </row>
    <row r="419" customFormat="false" ht="15" hidden="false" customHeight="false" outlineLevel="0" collapsed="false">
      <c r="A419" s="0" t="s">
        <v>94</v>
      </c>
      <c r="B419" s="1" t="s">
        <v>14</v>
      </c>
      <c r="C419" s="1" t="s">
        <v>54</v>
      </c>
      <c r="D419" s="0" t="n">
        <v>3000</v>
      </c>
      <c r="E419" s="0" t="n">
        <v>12240</v>
      </c>
      <c r="F419" s="0" t="n">
        <f aca="false">D419*E419</f>
        <v>36720000</v>
      </c>
      <c r="G419" s="0" t="n">
        <f aca="false">INDEX(마스터!$E:$E,MATCH(C419,마스터!$A:$A,0))</f>
        <v>6790</v>
      </c>
      <c r="H419" s="0" t="n">
        <f aca="false">D419*G419</f>
        <v>20370000</v>
      </c>
    </row>
    <row r="420" customFormat="false" ht="15" hidden="false" customHeight="false" outlineLevel="0" collapsed="false">
      <c r="A420" s="0" t="s">
        <v>94</v>
      </c>
      <c r="B420" s="1" t="s">
        <v>14</v>
      </c>
      <c r="C420" s="1" t="s">
        <v>48</v>
      </c>
      <c r="D420" s="0" t="n">
        <v>4510</v>
      </c>
      <c r="E420" s="0" t="n">
        <v>11920</v>
      </c>
      <c r="F420" s="0" t="n">
        <f aca="false">D420*E420</f>
        <v>53759200</v>
      </c>
      <c r="G420" s="0" t="n">
        <f aca="false">INDEX(마스터!$E:$E,MATCH(C420,마스터!$A:$A,0))</f>
        <v>6440</v>
      </c>
      <c r="H420" s="0" t="n">
        <f aca="false">D420*G420</f>
        <v>29044400</v>
      </c>
    </row>
    <row r="421" customFormat="false" ht="15" hidden="false" customHeight="false" outlineLevel="0" collapsed="false">
      <c r="A421" s="0" t="s">
        <v>94</v>
      </c>
      <c r="B421" s="1" t="s">
        <v>14</v>
      </c>
      <c r="C421" s="1" t="s">
        <v>66</v>
      </c>
      <c r="D421" s="0" t="n">
        <v>13720</v>
      </c>
      <c r="E421" s="0" t="n">
        <v>11920</v>
      </c>
      <c r="F421" s="0" t="n">
        <f aca="false">D421*E421</f>
        <v>163542400</v>
      </c>
      <c r="G421" s="0" t="n">
        <f aca="false">INDEX(마스터!$E:$E,MATCH(C421,마스터!$A:$A,0))</f>
        <v>6360</v>
      </c>
      <c r="H421" s="0" t="n">
        <f aca="false">D421*G421</f>
        <v>87259200</v>
      </c>
    </row>
    <row r="422" customFormat="false" ht="15" hidden="false" customHeight="false" outlineLevel="0" collapsed="false">
      <c r="A422" s="0" t="s">
        <v>94</v>
      </c>
      <c r="B422" s="1" t="s">
        <v>14</v>
      </c>
      <c r="C422" s="1" t="s">
        <v>88</v>
      </c>
      <c r="D422" s="0" t="n">
        <v>3590</v>
      </c>
      <c r="E422" s="0" t="n">
        <v>10950</v>
      </c>
      <c r="F422" s="0" t="n">
        <f aca="false">D422*E422</f>
        <v>39310500</v>
      </c>
      <c r="G422" s="0" t="n">
        <f aca="false">INDEX(마스터!$E:$E,MATCH(C422,마스터!$A:$A,0))</f>
        <v>5930</v>
      </c>
      <c r="H422" s="0" t="n">
        <f aca="false">D422*G422</f>
        <v>21288700</v>
      </c>
    </row>
    <row r="423" customFormat="false" ht="15" hidden="false" customHeight="false" outlineLevel="0" collapsed="false">
      <c r="A423" s="0" t="s">
        <v>94</v>
      </c>
      <c r="B423" s="1" t="s">
        <v>14</v>
      </c>
      <c r="C423" s="1" t="s">
        <v>71</v>
      </c>
      <c r="D423" s="0" t="n">
        <v>3310</v>
      </c>
      <c r="E423" s="0" t="n">
        <v>8370</v>
      </c>
      <c r="F423" s="0" t="n">
        <f aca="false">D423*E423</f>
        <v>27704700</v>
      </c>
      <c r="G423" s="0" t="n">
        <f aca="false">INDEX(마스터!$E:$E,MATCH(C423,마스터!$A:$A,0))</f>
        <v>4330</v>
      </c>
      <c r="H423" s="0" t="n">
        <f aca="false">D423*G423</f>
        <v>14332300</v>
      </c>
    </row>
    <row r="424" customFormat="false" ht="15" hidden="false" customHeight="false" outlineLevel="0" collapsed="false">
      <c r="A424" s="0" t="s">
        <v>94</v>
      </c>
      <c r="B424" s="1" t="s">
        <v>14</v>
      </c>
      <c r="C424" s="1" t="s">
        <v>47</v>
      </c>
      <c r="D424" s="0" t="n">
        <v>2070</v>
      </c>
      <c r="E424" s="0" t="n">
        <v>8370</v>
      </c>
      <c r="F424" s="0" t="n">
        <f aca="false">D424*E424</f>
        <v>17325900</v>
      </c>
      <c r="G424" s="0" t="n">
        <f aca="false">INDEX(마스터!$E:$E,MATCH(C424,마스터!$A:$A,0))</f>
        <v>4170</v>
      </c>
      <c r="H424" s="0" t="n">
        <f aca="false">D424*G424</f>
        <v>8631900</v>
      </c>
    </row>
    <row r="425" customFormat="false" ht="15" hidden="false" customHeight="false" outlineLevel="0" collapsed="false">
      <c r="A425" s="0" t="s">
        <v>94</v>
      </c>
      <c r="B425" s="1" t="s">
        <v>15</v>
      </c>
      <c r="C425" s="1" t="s">
        <v>41</v>
      </c>
      <c r="D425" s="0" t="n">
        <v>4700</v>
      </c>
      <c r="E425" s="0" t="n">
        <v>11060</v>
      </c>
      <c r="F425" s="0" t="n">
        <f aca="false">D425*E425</f>
        <v>51982000</v>
      </c>
      <c r="G425" s="0" t="n">
        <f aca="false">INDEX(마스터!$E:$E,MATCH(C425,마스터!$A:$A,0))</f>
        <v>5480</v>
      </c>
      <c r="H425" s="0" t="n">
        <f aca="false">D425*G425</f>
        <v>25756000</v>
      </c>
    </row>
    <row r="426" customFormat="false" ht="15" hidden="false" customHeight="false" outlineLevel="0" collapsed="false">
      <c r="A426" s="0" t="s">
        <v>94</v>
      </c>
      <c r="B426" s="1" t="s">
        <v>15</v>
      </c>
      <c r="C426" s="1" t="s">
        <v>42</v>
      </c>
      <c r="D426" s="0" t="n">
        <v>4950</v>
      </c>
      <c r="E426" s="0" t="n">
        <v>12360</v>
      </c>
      <c r="F426" s="0" t="n">
        <f aca="false">D426*E426</f>
        <v>61182000</v>
      </c>
      <c r="G426" s="0" t="n">
        <f aca="false">INDEX(마스터!$E:$E,MATCH(C426,마스터!$A:$A,0))</f>
        <v>6730</v>
      </c>
      <c r="H426" s="0" t="n">
        <f aca="false">D426*G426</f>
        <v>33313500</v>
      </c>
    </row>
    <row r="427" customFormat="false" ht="15" hidden="false" customHeight="false" outlineLevel="0" collapsed="false">
      <c r="A427" s="0" t="s">
        <v>94</v>
      </c>
      <c r="B427" s="1" t="s">
        <v>15</v>
      </c>
      <c r="C427" s="1" t="s">
        <v>39</v>
      </c>
      <c r="D427" s="0" t="n">
        <v>3010</v>
      </c>
      <c r="E427" s="0" t="n">
        <v>11060</v>
      </c>
      <c r="F427" s="0" t="n">
        <f aca="false">D427*E427</f>
        <v>33290600</v>
      </c>
      <c r="G427" s="0" t="n">
        <f aca="false">INDEX(마스터!$E:$E,MATCH(C427,마스터!$A:$A,0))</f>
        <v>5660</v>
      </c>
      <c r="H427" s="0" t="n">
        <f aca="false">D427*G427</f>
        <v>17036600</v>
      </c>
    </row>
    <row r="428" customFormat="false" ht="15" hidden="false" customHeight="false" outlineLevel="0" collapsed="false">
      <c r="A428" s="0" t="s">
        <v>94</v>
      </c>
      <c r="B428" s="1" t="s">
        <v>15</v>
      </c>
      <c r="C428" s="1" t="s">
        <v>56</v>
      </c>
      <c r="D428" s="0" t="n">
        <v>3830</v>
      </c>
      <c r="E428" s="0" t="n">
        <v>10090</v>
      </c>
      <c r="F428" s="0" t="n">
        <f aca="false">D428*E428</f>
        <v>38644700</v>
      </c>
      <c r="G428" s="0" t="n">
        <f aca="false">INDEX(마스터!$E:$E,MATCH(C428,마스터!$A:$A,0))</f>
        <v>5470</v>
      </c>
      <c r="H428" s="0" t="n">
        <f aca="false">D428*G428</f>
        <v>20950100</v>
      </c>
    </row>
    <row r="429" customFormat="false" ht="15" hidden="false" customHeight="false" outlineLevel="0" collapsed="false">
      <c r="A429" s="0" t="s">
        <v>94</v>
      </c>
      <c r="B429" s="1" t="s">
        <v>15</v>
      </c>
      <c r="C429" s="1" t="s">
        <v>66</v>
      </c>
      <c r="D429" s="0" t="n">
        <v>8710</v>
      </c>
      <c r="E429" s="0" t="n">
        <v>12040</v>
      </c>
      <c r="F429" s="0" t="n">
        <f aca="false">D429*E429</f>
        <v>104868400</v>
      </c>
      <c r="G429" s="0" t="n">
        <f aca="false">INDEX(마스터!$E:$E,MATCH(C429,마스터!$A:$A,0))</f>
        <v>6360</v>
      </c>
      <c r="H429" s="0" t="n">
        <f aca="false">D429*G429</f>
        <v>55395600</v>
      </c>
    </row>
    <row r="430" customFormat="false" ht="15" hidden="false" customHeight="false" outlineLevel="0" collapsed="false">
      <c r="A430" s="0" t="s">
        <v>94</v>
      </c>
      <c r="B430" s="1" t="s">
        <v>15</v>
      </c>
      <c r="C430" s="1" t="s">
        <v>95</v>
      </c>
      <c r="D430" s="0" t="n">
        <v>2200</v>
      </c>
      <c r="E430" s="0" t="n">
        <v>8460</v>
      </c>
      <c r="F430" s="0" t="n">
        <f aca="false">D430*E430</f>
        <v>18612000</v>
      </c>
      <c r="G430" s="0" t="n">
        <f aca="false">INDEX(마스터!$E:$E,MATCH(C430,마스터!$A:$A,0))</f>
        <v>4420</v>
      </c>
      <c r="H430" s="0" t="n">
        <f aca="false">D430*G430</f>
        <v>9724000</v>
      </c>
    </row>
    <row r="431" customFormat="false" ht="15" hidden="false" customHeight="false" outlineLevel="0" collapsed="false">
      <c r="A431" s="0" t="s">
        <v>94</v>
      </c>
      <c r="B431" s="1" t="s">
        <v>15</v>
      </c>
      <c r="C431" s="1" t="s">
        <v>47</v>
      </c>
      <c r="D431" s="0" t="n">
        <v>2470</v>
      </c>
      <c r="E431" s="0" t="n">
        <v>8460</v>
      </c>
      <c r="F431" s="0" t="n">
        <f aca="false">D431*E431</f>
        <v>20896200</v>
      </c>
      <c r="G431" s="0" t="n">
        <f aca="false">INDEX(마스터!$E:$E,MATCH(C431,마스터!$A:$A,0))</f>
        <v>4170</v>
      </c>
      <c r="H431" s="0" t="n">
        <f aca="false">D431*G431</f>
        <v>10299900</v>
      </c>
    </row>
    <row r="432" customFormat="false" ht="15" hidden="false" customHeight="false" outlineLevel="0" collapsed="false">
      <c r="A432" s="0" t="s">
        <v>94</v>
      </c>
      <c r="B432" s="1" t="s">
        <v>16</v>
      </c>
      <c r="C432" s="1" t="s">
        <v>38</v>
      </c>
      <c r="D432" s="0" t="n">
        <v>4100</v>
      </c>
      <c r="E432" s="0" t="n">
        <v>12400</v>
      </c>
      <c r="F432" s="0" t="n">
        <f aca="false">D432*E432</f>
        <v>50840000</v>
      </c>
      <c r="G432" s="0" t="n">
        <f aca="false">INDEX(마스터!$E:$E,MATCH(C432,마스터!$A:$A,0))</f>
        <v>5670</v>
      </c>
      <c r="H432" s="0" t="n">
        <f aca="false">D432*G432</f>
        <v>23247000</v>
      </c>
    </row>
    <row r="433" customFormat="false" ht="15" hidden="false" customHeight="false" outlineLevel="0" collapsed="false">
      <c r="A433" s="0" t="s">
        <v>94</v>
      </c>
      <c r="B433" s="1" t="s">
        <v>16</v>
      </c>
      <c r="C433" s="1" t="s">
        <v>56</v>
      </c>
      <c r="D433" s="0" t="n">
        <v>2750</v>
      </c>
      <c r="E433" s="0" t="n">
        <v>10990</v>
      </c>
      <c r="F433" s="0" t="n">
        <f aca="false">D433*E433</f>
        <v>30222500</v>
      </c>
      <c r="G433" s="0" t="n">
        <f aca="false">INDEX(마스터!$E:$E,MATCH(C433,마스터!$A:$A,0))</f>
        <v>5470</v>
      </c>
      <c r="H433" s="0" t="n">
        <f aca="false">D433*G433</f>
        <v>15042500</v>
      </c>
    </row>
    <row r="434" customFormat="false" ht="15" hidden="false" customHeight="false" outlineLevel="0" collapsed="false">
      <c r="A434" s="0" t="s">
        <v>94</v>
      </c>
      <c r="B434" s="1" t="s">
        <v>16</v>
      </c>
      <c r="C434" s="1" t="s">
        <v>92</v>
      </c>
      <c r="D434" s="0" t="n">
        <v>2940</v>
      </c>
      <c r="E434" s="0" t="n">
        <v>12050</v>
      </c>
      <c r="F434" s="0" t="n">
        <f aca="false">D434*E434</f>
        <v>35427000</v>
      </c>
      <c r="G434" s="0" t="n">
        <f aca="false">INDEX(마스터!$E:$E,MATCH(C434,마스터!$A:$A,0))</f>
        <v>5650</v>
      </c>
      <c r="H434" s="0" t="n">
        <f aca="false">D434*G434</f>
        <v>16611000</v>
      </c>
    </row>
    <row r="435" customFormat="false" ht="15" hidden="false" customHeight="false" outlineLevel="0" collapsed="false">
      <c r="A435" s="0" t="s">
        <v>94</v>
      </c>
      <c r="B435" s="1" t="s">
        <v>16</v>
      </c>
      <c r="C435" s="1" t="s">
        <v>72</v>
      </c>
      <c r="D435" s="0" t="n">
        <v>4580</v>
      </c>
      <c r="E435" s="0" t="n">
        <v>12400</v>
      </c>
      <c r="F435" s="0" t="n">
        <f aca="false">D435*E435</f>
        <v>56792000</v>
      </c>
      <c r="G435" s="0" t="n">
        <f aca="false">INDEX(마스터!$E:$E,MATCH(C435,마스터!$A:$A,0))</f>
        <v>5920</v>
      </c>
      <c r="H435" s="0" t="n">
        <f aca="false">D435*G435</f>
        <v>27113600</v>
      </c>
    </row>
    <row r="436" customFormat="false" ht="15" hidden="false" customHeight="false" outlineLevel="0" collapsed="false">
      <c r="A436" s="0" t="s">
        <v>94</v>
      </c>
      <c r="B436" s="1" t="s">
        <v>16</v>
      </c>
      <c r="C436" s="1" t="s">
        <v>66</v>
      </c>
      <c r="D436" s="0" t="n">
        <v>5570</v>
      </c>
      <c r="E436" s="0" t="n">
        <v>13110</v>
      </c>
      <c r="F436" s="0" t="n">
        <f aca="false">D436*E436</f>
        <v>73022700</v>
      </c>
      <c r="G436" s="0" t="n">
        <f aca="false">INDEX(마스터!$E:$E,MATCH(C436,마스터!$A:$A,0))</f>
        <v>6360</v>
      </c>
      <c r="H436" s="0" t="n">
        <f aca="false">D436*G436</f>
        <v>35425200</v>
      </c>
    </row>
    <row r="437" customFormat="false" ht="15" hidden="false" customHeight="false" outlineLevel="0" collapsed="false">
      <c r="A437" s="0" t="s">
        <v>94</v>
      </c>
      <c r="B437" s="1" t="s">
        <v>16</v>
      </c>
      <c r="C437" s="1" t="s">
        <v>47</v>
      </c>
      <c r="D437" s="0" t="n">
        <v>2330</v>
      </c>
      <c r="E437" s="0" t="n">
        <v>9210</v>
      </c>
      <c r="F437" s="0" t="n">
        <f aca="false">D437*E437</f>
        <v>21459300</v>
      </c>
      <c r="G437" s="0" t="n">
        <f aca="false">INDEX(마스터!$E:$E,MATCH(C437,마스터!$A:$A,0))</f>
        <v>4170</v>
      </c>
      <c r="H437" s="0" t="n">
        <f aca="false">D437*G437</f>
        <v>9716100</v>
      </c>
    </row>
    <row r="438" customFormat="false" ht="15" hidden="false" customHeight="false" outlineLevel="0" collapsed="false">
      <c r="A438" s="0" t="s">
        <v>94</v>
      </c>
      <c r="B438" s="1" t="s">
        <v>17</v>
      </c>
      <c r="C438" s="1" t="s">
        <v>69</v>
      </c>
      <c r="D438" s="0" t="n">
        <v>2230</v>
      </c>
      <c r="E438" s="0" t="n">
        <v>11600</v>
      </c>
      <c r="F438" s="0" t="n">
        <f aca="false">D438*E438</f>
        <v>25868000</v>
      </c>
      <c r="G438" s="0" t="n">
        <f aca="false">INDEX(마스터!$E:$E,MATCH(C438,마스터!$A:$A,0))</f>
        <v>6140</v>
      </c>
      <c r="H438" s="0" t="n">
        <f aca="false">D438*G438</f>
        <v>13692200</v>
      </c>
    </row>
    <row r="439" customFormat="false" ht="15" hidden="false" customHeight="false" outlineLevel="0" collapsed="false">
      <c r="A439" s="0" t="s">
        <v>94</v>
      </c>
      <c r="B439" s="1" t="s">
        <v>17</v>
      </c>
      <c r="C439" s="1" t="s">
        <v>46</v>
      </c>
      <c r="D439" s="0" t="n">
        <v>3000</v>
      </c>
      <c r="E439" s="0" t="n">
        <v>13220</v>
      </c>
      <c r="F439" s="0" t="n">
        <f aca="false">D439*E439</f>
        <v>39660000</v>
      </c>
      <c r="G439" s="0" t="n">
        <f aca="false">INDEX(마스터!$E:$E,MATCH(C439,마스터!$A:$A,0))</f>
        <v>6910</v>
      </c>
      <c r="H439" s="0" t="n">
        <f aca="false">D439*G439</f>
        <v>20730000</v>
      </c>
    </row>
    <row r="440" customFormat="false" ht="15" hidden="false" customHeight="false" outlineLevel="0" collapsed="false">
      <c r="A440" s="0" t="s">
        <v>94</v>
      </c>
      <c r="B440" s="1" t="s">
        <v>17</v>
      </c>
      <c r="C440" s="1" t="s">
        <v>34</v>
      </c>
      <c r="D440" s="0" t="n">
        <v>2610</v>
      </c>
      <c r="E440" s="0" t="n">
        <v>11930</v>
      </c>
      <c r="F440" s="0" t="n">
        <f aca="false">D440*E440</f>
        <v>31137300</v>
      </c>
      <c r="G440" s="0" t="n">
        <f aca="false">INDEX(마스터!$E:$E,MATCH(C440,마스터!$A:$A,0))</f>
        <v>6630</v>
      </c>
      <c r="H440" s="0" t="n">
        <f aca="false">D440*G440</f>
        <v>17304300</v>
      </c>
    </row>
    <row r="441" customFormat="false" ht="15" hidden="false" customHeight="false" outlineLevel="0" collapsed="false">
      <c r="A441" s="0" t="s">
        <v>94</v>
      </c>
      <c r="B441" s="1" t="s">
        <v>17</v>
      </c>
      <c r="C441" s="1" t="s">
        <v>42</v>
      </c>
      <c r="D441" s="0" t="n">
        <v>3430</v>
      </c>
      <c r="E441" s="0" t="n">
        <v>12250</v>
      </c>
      <c r="F441" s="0" t="n">
        <f aca="false">D441*E441</f>
        <v>42017500</v>
      </c>
      <c r="G441" s="0" t="n">
        <f aca="false">INDEX(마스터!$E:$E,MATCH(C441,마스터!$A:$A,0))</f>
        <v>6730</v>
      </c>
      <c r="H441" s="0" t="n">
        <f aca="false">D441*G441</f>
        <v>23083900</v>
      </c>
    </row>
    <row r="442" customFormat="false" ht="15" hidden="false" customHeight="false" outlineLevel="0" collapsed="false">
      <c r="A442" s="0" t="s">
        <v>94</v>
      </c>
      <c r="B442" s="1" t="s">
        <v>17</v>
      </c>
      <c r="C442" s="1" t="s">
        <v>66</v>
      </c>
      <c r="D442" s="0" t="n">
        <v>6810</v>
      </c>
      <c r="E442" s="0" t="n">
        <v>11930</v>
      </c>
      <c r="F442" s="0" t="n">
        <f aca="false">D442*E442</f>
        <v>81243300</v>
      </c>
      <c r="G442" s="0" t="n">
        <f aca="false">INDEX(마스터!$E:$E,MATCH(C442,마스터!$A:$A,0))</f>
        <v>6360</v>
      </c>
      <c r="H442" s="0" t="n">
        <f aca="false">D442*G442</f>
        <v>43311600</v>
      </c>
    </row>
    <row r="443" customFormat="false" ht="15" hidden="false" customHeight="false" outlineLevel="0" collapsed="false">
      <c r="A443" s="0" t="s">
        <v>94</v>
      </c>
      <c r="B443" s="1" t="s">
        <v>17</v>
      </c>
      <c r="C443" s="1" t="s">
        <v>47</v>
      </c>
      <c r="D443" s="0" t="n">
        <v>1550</v>
      </c>
      <c r="E443" s="0" t="n">
        <v>8380</v>
      </c>
      <c r="F443" s="0" t="n">
        <f aca="false">D443*E443</f>
        <v>12989000</v>
      </c>
      <c r="G443" s="0" t="n">
        <f aca="false">INDEX(마스터!$E:$E,MATCH(C443,마스터!$A:$A,0))</f>
        <v>4170</v>
      </c>
      <c r="H443" s="0" t="n">
        <f aca="false">D443*G443</f>
        <v>6463500</v>
      </c>
    </row>
    <row r="444" customFormat="false" ht="15" hidden="false" customHeight="false" outlineLevel="0" collapsed="false">
      <c r="A444" s="0" t="s">
        <v>94</v>
      </c>
      <c r="B444" s="1" t="s">
        <v>18</v>
      </c>
      <c r="C444" s="1" t="s">
        <v>59</v>
      </c>
      <c r="D444" s="0" t="n">
        <v>4970</v>
      </c>
      <c r="E444" s="0" t="n">
        <v>14130</v>
      </c>
      <c r="F444" s="0" t="n">
        <f aca="false">D444*E444</f>
        <v>70226100</v>
      </c>
      <c r="G444" s="0" t="n">
        <f aca="false">INDEX(마스터!$E:$E,MATCH(C444,마스터!$A:$A,0))</f>
        <v>6520</v>
      </c>
      <c r="H444" s="0" t="n">
        <f aca="false">D444*G444</f>
        <v>32404400</v>
      </c>
    </row>
    <row r="445" customFormat="false" ht="15" hidden="false" customHeight="false" outlineLevel="0" collapsed="false">
      <c r="A445" s="0" t="s">
        <v>94</v>
      </c>
      <c r="B445" s="1" t="s">
        <v>18</v>
      </c>
      <c r="C445" s="1" t="s">
        <v>46</v>
      </c>
      <c r="D445" s="0" t="n">
        <v>5300</v>
      </c>
      <c r="E445" s="0" t="n">
        <v>14490</v>
      </c>
      <c r="F445" s="0" t="n">
        <f aca="false">D445*E445</f>
        <v>76797000</v>
      </c>
      <c r="G445" s="0" t="n">
        <f aca="false">INDEX(마스터!$E:$E,MATCH(C445,마스터!$A:$A,0))</f>
        <v>6910</v>
      </c>
      <c r="H445" s="0" t="n">
        <f aca="false">D445*G445</f>
        <v>36623000</v>
      </c>
    </row>
    <row r="446" customFormat="false" ht="15" hidden="false" customHeight="false" outlineLevel="0" collapsed="false">
      <c r="A446" s="0" t="s">
        <v>94</v>
      </c>
      <c r="B446" s="1" t="s">
        <v>18</v>
      </c>
      <c r="C446" s="1" t="s">
        <v>75</v>
      </c>
      <c r="D446" s="0" t="n">
        <v>2880</v>
      </c>
      <c r="E446" s="0" t="n">
        <v>12010</v>
      </c>
      <c r="F446" s="0" t="n">
        <f aca="false">D446*E446</f>
        <v>34588800</v>
      </c>
      <c r="G446" s="0" t="n">
        <f aca="false">INDEX(마스터!$E:$E,MATCH(C446,마스터!$A:$A,0))</f>
        <v>5440</v>
      </c>
      <c r="H446" s="0" t="n">
        <f aca="false">D446*G446</f>
        <v>15667200</v>
      </c>
    </row>
    <row r="447" customFormat="false" ht="15" hidden="false" customHeight="false" outlineLevel="0" collapsed="false">
      <c r="A447" s="0" t="s">
        <v>94</v>
      </c>
      <c r="B447" s="1" t="s">
        <v>18</v>
      </c>
      <c r="C447" s="1" t="s">
        <v>88</v>
      </c>
      <c r="D447" s="0" t="n">
        <v>2890</v>
      </c>
      <c r="E447" s="0" t="n">
        <v>12010</v>
      </c>
      <c r="F447" s="0" t="n">
        <f aca="false">D447*E447</f>
        <v>34708900</v>
      </c>
      <c r="G447" s="0" t="n">
        <f aca="false">INDEX(마스터!$E:$E,MATCH(C447,마스터!$A:$A,0))</f>
        <v>5930</v>
      </c>
      <c r="H447" s="0" t="n">
        <f aca="false">D447*G447</f>
        <v>17137700</v>
      </c>
    </row>
    <row r="448" customFormat="false" ht="15" hidden="false" customHeight="false" outlineLevel="0" collapsed="false">
      <c r="A448" s="0" t="s">
        <v>94</v>
      </c>
      <c r="B448" s="1" t="s">
        <v>19</v>
      </c>
      <c r="C448" s="1" t="s">
        <v>65</v>
      </c>
      <c r="D448" s="0" t="n">
        <v>2330</v>
      </c>
      <c r="E448" s="0" t="n">
        <v>13290</v>
      </c>
      <c r="F448" s="0" t="n">
        <f aca="false">D448*E448</f>
        <v>30965700</v>
      </c>
      <c r="G448" s="0" t="n">
        <f aca="false">INDEX(마스터!$E:$E,MATCH(C448,마스터!$A:$A,0))</f>
        <v>6670</v>
      </c>
      <c r="H448" s="0" t="n">
        <f aca="false">D448*G448</f>
        <v>15541100</v>
      </c>
    </row>
    <row r="449" customFormat="false" ht="15" hidden="false" customHeight="false" outlineLevel="0" collapsed="false">
      <c r="A449" s="0" t="s">
        <v>94</v>
      </c>
      <c r="B449" s="1" t="s">
        <v>19</v>
      </c>
      <c r="C449" s="1" t="s">
        <v>42</v>
      </c>
      <c r="D449" s="0" t="n">
        <v>3230</v>
      </c>
      <c r="E449" s="0" t="n">
        <v>12320</v>
      </c>
      <c r="F449" s="0" t="n">
        <f aca="false">D449*E449</f>
        <v>39793600</v>
      </c>
      <c r="G449" s="0" t="n">
        <f aca="false">INDEX(마스터!$E:$E,MATCH(C449,마스터!$A:$A,0))</f>
        <v>6730</v>
      </c>
      <c r="H449" s="0" t="n">
        <f aca="false">D449*G449</f>
        <v>21737900</v>
      </c>
    </row>
    <row r="450" customFormat="false" ht="15" hidden="false" customHeight="false" outlineLevel="0" collapsed="false">
      <c r="A450" s="0" t="s">
        <v>94</v>
      </c>
      <c r="B450" s="1" t="s">
        <v>19</v>
      </c>
      <c r="C450" s="1" t="s">
        <v>51</v>
      </c>
      <c r="D450" s="0" t="n">
        <v>2670</v>
      </c>
      <c r="E450" s="0" t="n">
        <v>13290</v>
      </c>
      <c r="F450" s="0" t="n">
        <f aca="false">D450*E450</f>
        <v>35484300</v>
      </c>
      <c r="G450" s="0" t="n">
        <f aca="false">INDEX(마스터!$E:$E,MATCH(C450,마스터!$A:$A,0))</f>
        <v>7480</v>
      </c>
      <c r="H450" s="0" t="n">
        <f aca="false">D450*G450</f>
        <v>19971600</v>
      </c>
    </row>
    <row r="451" customFormat="false" ht="15" hidden="false" customHeight="false" outlineLevel="0" collapsed="false">
      <c r="A451" s="0" t="s">
        <v>94</v>
      </c>
      <c r="B451" s="1" t="s">
        <v>19</v>
      </c>
      <c r="C451" s="1" t="s">
        <v>90</v>
      </c>
      <c r="D451" s="0" t="n">
        <v>2270</v>
      </c>
      <c r="E451" s="0" t="n">
        <v>10700</v>
      </c>
      <c r="F451" s="0" t="n">
        <f aca="false">D451*E451</f>
        <v>24289000</v>
      </c>
      <c r="G451" s="0" t="n">
        <f aca="false">INDEX(마스터!$E:$E,MATCH(C451,마스터!$A:$A,0))</f>
        <v>5290</v>
      </c>
      <c r="H451" s="0" t="n">
        <f aca="false">D451*G451</f>
        <v>12008300</v>
      </c>
    </row>
    <row r="452" customFormat="false" ht="15" hidden="false" customHeight="false" outlineLevel="0" collapsed="false">
      <c r="A452" s="0" t="s">
        <v>94</v>
      </c>
      <c r="B452" s="1" t="s">
        <v>19</v>
      </c>
      <c r="C452" s="1" t="s">
        <v>47</v>
      </c>
      <c r="D452" s="0" t="n">
        <v>1390</v>
      </c>
      <c r="E452" s="0" t="n">
        <v>8430</v>
      </c>
      <c r="F452" s="0" t="n">
        <f aca="false">D452*E452</f>
        <v>11717700</v>
      </c>
      <c r="G452" s="0" t="n">
        <f aca="false">INDEX(마스터!$E:$E,MATCH(C452,마스터!$A:$A,0))</f>
        <v>4170</v>
      </c>
      <c r="H452" s="0" t="n">
        <f aca="false">D452*G452</f>
        <v>5796300</v>
      </c>
    </row>
    <row r="453" customFormat="false" ht="15" hidden="false" customHeight="false" outlineLevel="0" collapsed="false">
      <c r="A453" s="0" t="s">
        <v>94</v>
      </c>
      <c r="B453" s="1" t="s">
        <v>20</v>
      </c>
      <c r="C453" s="1" t="s">
        <v>61</v>
      </c>
      <c r="D453" s="0" t="n">
        <v>2740</v>
      </c>
      <c r="E453" s="0" t="n">
        <v>11010</v>
      </c>
      <c r="F453" s="0" t="n">
        <f aca="false">D453*E453</f>
        <v>30167400</v>
      </c>
      <c r="G453" s="0" t="n">
        <f aca="false">INDEX(마스터!$E:$E,MATCH(C453,마스터!$A:$A,0))</f>
        <v>5390</v>
      </c>
      <c r="H453" s="0" t="n">
        <f aca="false">D453*G453</f>
        <v>14768600</v>
      </c>
    </row>
    <row r="454" customFormat="false" ht="15" hidden="false" customHeight="false" outlineLevel="0" collapsed="false">
      <c r="A454" s="0" t="s">
        <v>94</v>
      </c>
      <c r="B454" s="1" t="s">
        <v>20</v>
      </c>
      <c r="C454" s="1" t="s">
        <v>53</v>
      </c>
      <c r="D454" s="0" t="n">
        <v>2570</v>
      </c>
      <c r="E454" s="0" t="n">
        <v>13850</v>
      </c>
      <c r="F454" s="0" t="n">
        <f aca="false">D454*E454</f>
        <v>35594500</v>
      </c>
      <c r="G454" s="0" t="n">
        <f aca="false">INDEX(마스터!$E:$E,MATCH(C454,마스터!$A:$A,0))</f>
        <v>6630</v>
      </c>
      <c r="H454" s="0" t="n">
        <f aca="false">D454*G454</f>
        <v>17039100</v>
      </c>
    </row>
    <row r="455" customFormat="false" ht="15" hidden="false" customHeight="false" outlineLevel="0" collapsed="false">
      <c r="A455" s="0" t="s">
        <v>94</v>
      </c>
      <c r="B455" s="1" t="s">
        <v>20</v>
      </c>
      <c r="C455" s="1" t="s">
        <v>54</v>
      </c>
      <c r="D455" s="0" t="n">
        <v>1880</v>
      </c>
      <c r="E455" s="0" t="n">
        <v>13490</v>
      </c>
      <c r="F455" s="0" t="n">
        <f aca="false">D455*E455</f>
        <v>25361200</v>
      </c>
      <c r="G455" s="0" t="n">
        <f aca="false">INDEX(마스터!$E:$E,MATCH(C455,마스터!$A:$A,0))</f>
        <v>6790</v>
      </c>
      <c r="H455" s="0" t="n">
        <f aca="false">D455*G455</f>
        <v>12765200</v>
      </c>
    </row>
    <row r="456" customFormat="false" ht="15" hidden="false" customHeight="false" outlineLevel="0" collapsed="false">
      <c r="A456" s="0" t="s">
        <v>94</v>
      </c>
      <c r="B456" s="1" t="s">
        <v>20</v>
      </c>
      <c r="C456" s="1" t="s">
        <v>34</v>
      </c>
      <c r="D456" s="0" t="n">
        <v>2400</v>
      </c>
      <c r="E456" s="0" t="n">
        <v>13140</v>
      </c>
      <c r="F456" s="0" t="n">
        <f aca="false">D456*E456</f>
        <v>31536000</v>
      </c>
      <c r="G456" s="0" t="n">
        <f aca="false">INDEX(마스터!$E:$E,MATCH(C456,마스터!$A:$A,0))</f>
        <v>6630</v>
      </c>
      <c r="H456" s="0" t="n">
        <f aca="false">D456*G456</f>
        <v>15912000</v>
      </c>
    </row>
    <row r="457" customFormat="false" ht="15" hidden="false" customHeight="false" outlineLevel="0" collapsed="false">
      <c r="A457" s="0" t="s">
        <v>94</v>
      </c>
      <c r="B457" s="1" t="s">
        <v>21</v>
      </c>
      <c r="C457" s="1" t="s">
        <v>82</v>
      </c>
      <c r="D457" s="0" t="n">
        <v>2550</v>
      </c>
      <c r="E457" s="0" t="n">
        <v>11180</v>
      </c>
      <c r="F457" s="0" t="n">
        <f aca="false">D457*E457</f>
        <v>28509000</v>
      </c>
      <c r="G457" s="0" t="n">
        <f aca="false">INDEX(마스터!$E:$E,MATCH(C457,마스터!$A:$A,0))</f>
        <v>5660</v>
      </c>
      <c r="H457" s="0" t="n">
        <f aca="false">D457*G457</f>
        <v>14433000</v>
      </c>
    </row>
    <row r="458" customFormat="false" ht="15" hidden="false" customHeight="false" outlineLevel="0" collapsed="false">
      <c r="A458" s="0" t="s">
        <v>94</v>
      </c>
      <c r="B458" s="1" t="s">
        <v>21</v>
      </c>
      <c r="C458" s="1" t="s">
        <v>54</v>
      </c>
      <c r="D458" s="0" t="n">
        <v>3750</v>
      </c>
      <c r="E458" s="0" t="n">
        <v>13270</v>
      </c>
      <c r="F458" s="0" t="n">
        <f aca="false">D458*E458</f>
        <v>49762500</v>
      </c>
      <c r="G458" s="0" t="n">
        <f aca="false">INDEX(마스터!$E:$E,MATCH(C458,마스터!$A:$A,0))</f>
        <v>6790</v>
      </c>
      <c r="H458" s="0" t="n">
        <f aca="false">D458*G458</f>
        <v>25462500</v>
      </c>
    </row>
    <row r="459" customFormat="false" ht="15" hidden="false" customHeight="false" outlineLevel="0" collapsed="false">
      <c r="A459" s="0" t="s">
        <v>94</v>
      </c>
      <c r="B459" s="1" t="s">
        <v>21</v>
      </c>
      <c r="C459" s="1" t="s">
        <v>56</v>
      </c>
      <c r="D459" s="0" t="n">
        <v>2940</v>
      </c>
      <c r="E459" s="0" t="n">
        <v>10830</v>
      </c>
      <c r="F459" s="0" t="n">
        <f aca="false">D459*E459</f>
        <v>31840200</v>
      </c>
      <c r="G459" s="0" t="n">
        <f aca="false">INDEX(마스터!$E:$E,MATCH(C459,마스터!$A:$A,0))</f>
        <v>5470</v>
      </c>
      <c r="H459" s="0" t="n">
        <f aca="false">D459*G459</f>
        <v>16081800</v>
      </c>
    </row>
    <row r="460" customFormat="false" ht="15" hidden="false" customHeight="false" outlineLevel="0" collapsed="false">
      <c r="A460" s="0" t="s">
        <v>94</v>
      </c>
      <c r="B460" s="1" t="s">
        <v>22</v>
      </c>
      <c r="C460" s="1" t="s">
        <v>77</v>
      </c>
      <c r="D460" s="0" t="n">
        <v>4270</v>
      </c>
      <c r="E460" s="0" t="n">
        <v>11940</v>
      </c>
      <c r="F460" s="0" t="n">
        <f aca="false">D460*E460</f>
        <v>50983800</v>
      </c>
      <c r="G460" s="0" t="n">
        <f aca="false">INDEX(마스터!$E:$E,MATCH(C460,마스터!$A:$A,0))</f>
        <v>5380</v>
      </c>
      <c r="H460" s="0" t="n">
        <f aca="false">D460*G460</f>
        <v>22972600</v>
      </c>
    </row>
    <row r="461" customFormat="false" ht="15" hidden="false" customHeight="false" outlineLevel="0" collapsed="false">
      <c r="A461" s="0" t="s">
        <v>94</v>
      </c>
      <c r="B461" s="1" t="s">
        <v>22</v>
      </c>
      <c r="C461" s="1" t="s">
        <v>72</v>
      </c>
      <c r="D461" s="0" t="n">
        <v>3400</v>
      </c>
      <c r="E461" s="0" t="n">
        <v>12290</v>
      </c>
      <c r="F461" s="0" t="n">
        <f aca="false">D461*E461</f>
        <v>41786000</v>
      </c>
      <c r="G461" s="0" t="n">
        <f aca="false">INDEX(마스터!$E:$E,MATCH(C461,마스터!$A:$A,0))</f>
        <v>5920</v>
      </c>
      <c r="H461" s="0" t="n">
        <f aca="false">D461*G461</f>
        <v>20128000</v>
      </c>
    </row>
    <row r="462" customFormat="false" ht="15" hidden="false" customHeight="false" outlineLevel="0" collapsed="false">
      <c r="A462" s="0" t="s">
        <v>94</v>
      </c>
      <c r="B462" s="1" t="s">
        <v>23</v>
      </c>
      <c r="C462" s="1" t="s">
        <v>59</v>
      </c>
      <c r="D462" s="0" t="n">
        <v>3380</v>
      </c>
      <c r="E462" s="0" t="n">
        <v>13940</v>
      </c>
      <c r="F462" s="0" t="n">
        <f aca="false">D462*E462</f>
        <v>47117200</v>
      </c>
      <c r="G462" s="0" t="n">
        <f aca="false">INDEX(마스터!$E:$E,MATCH(C462,마스터!$A:$A,0))</f>
        <v>6520</v>
      </c>
      <c r="H462" s="0" t="n">
        <f aca="false">D462*G462</f>
        <v>22037600</v>
      </c>
    </row>
    <row r="463" customFormat="false" ht="15" hidden="false" customHeight="false" outlineLevel="0" collapsed="false">
      <c r="A463" s="0" t="s">
        <v>94</v>
      </c>
      <c r="B463" s="1" t="s">
        <v>23</v>
      </c>
      <c r="C463" s="1" t="s">
        <v>42</v>
      </c>
      <c r="D463" s="0" t="n">
        <v>3420</v>
      </c>
      <c r="E463" s="0" t="n">
        <v>13250</v>
      </c>
      <c r="F463" s="0" t="n">
        <f aca="false">D463*E463</f>
        <v>45315000</v>
      </c>
      <c r="G463" s="0" t="n">
        <f aca="false">INDEX(마스터!$E:$E,MATCH(C463,마스터!$A:$A,0))</f>
        <v>6730</v>
      </c>
      <c r="H463" s="0" t="n">
        <f aca="false">D463*G463</f>
        <v>23016600</v>
      </c>
    </row>
    <row r="464" customFormat="false" ht="15" hidden="false" customHeight="false" outlineLevel="0" collapsed="false">
      <c r="A464" s="0" t="s">
        <v>94</v>
      </c>
      <c r="B464" s="1" t="s">
        <v>25</v>
      </c>
      <c r="C464" s="1" t="s">
        <v>60</v>
      </c>
      <c r="D464" s="0" t="n">
        <v>2860</v>
      </c>
      <c r="E464" s="0" t="n">
        <v>13640</v>
      </c>
      <c r="F464" s="0" t="n">
        <f aca="false">D464*E464</f>
        <v>39010400</v>
      </c>
      <c r="G464" s="0" t="n">
        <f aca="false">INDEX(마스터!$E:$E,MATCH(C464,마스터!$A:$A,0))</f>
        <v>6980</v>
      </c>
      <c r="H464" s="0" t="n">
        <f aca="false">D464*G464</f>
        <v>19962800</v>
      </c>
    </row>
    <row r="465" customFormat="false" ht="15" hidden="false" customHeight="false" outlineLevel="0" collapsed="false">
      <c r="A465" s="0" t="s">
        <v>94</v>
      </c>
      <c r="B465" s="1" t="s">
        <v>25</v>
      </c>
      <c r="C465" s="1" t="s">
        <v>42</v>
      </c>
      <c r="D465" s="0" t="n">
        <v>2720</v>
      </c>
      <c r="E465" s="0" t="n">
        <v>13290</v>
      </c>
      <c r="F465" s="0" t="n">
        <f aca="false">D465*E465</f>
        <v>36148800</v>
      </c>
      <c r="G465" s="0" t="n">
        <f aca="false">INDEX(마스터!$E:$E,MATCH(C465,마스터!$A:$A,0))</f>
        <v>6730</v>
      </c>
      <c r="H465" s="0" t="n">
        <f aca="false">D465*G465</f>
        <v>18305600</v>
      </c>
    </row>
    <row r="466" customFormat="false" ht="15" hidden="false" customHeight="false" outlineLevel="0" collapsed="false">
      <c r="A466" s="0" t="s">
        <v>94</v>
      </c>
      <c r="B466" s="1" t="s">
        <v>24</v>
      </c>
      <c r="C466" s="1" t="s">
        <v>38</v>
      </c>
      <c r="D466" s="0" t="n">
        <v>2860</v>
      </c>
      <c r="E466" s="0" t="n">
        <v>12250</v>
      </c>
      <c r="F466" s="0" t="n">
        <f aca="false">D466*E466</f>
        <v>35035000</v>
      </c>
      <c r="G466" s="0" t="n">
        <f aca="false">INDEX(마스터!$E:$E,MATCH(C466,마스터!$A:$A,0))</f>
        <v>5670</v>
      </c>
      <c r="H466" s="0" t="n">
        <f aca="false">D466*G466</f>
        <v>16216200</v>
      </c>
    </row>
    <row r="467" customFormat="false" ht="15" hidden="false" customHeight="false" outlineLevel="0" collapsed="false">
      <c r="A467" s="0" t="s">
        <v>94</v>
      </c>
      <c r="B467" s="1" t="s">
        <v>24</v>
      </c>
      <c r="C467" s="1" t="s">
        <v>41</v>
      </c>
      <c r="D467" s="0" t="n">
        <v>2720</v>
      </c>
      <c r="E467" s="0" t="n">
        <v>11900</v>
      </c>
      <c r="F467" s="0" t="n">
        <f aca="false">D467*E467</f>
        <v>32368000</v>
      </c>
      <c r="G467" s="0" t="n">
        <f aca="false">INDEX(마스터!$E:$E,MATCH(C467,마스터!$A:$A,0))</f>
        <v>5480</v>
      </c>
      <c r="H467" s="0" t="n">
        <f aca="false">D467*G467</f>
        <v>14905600</v>
      </c>
    </row>
    <row r="468" customFormat="false" ht="15" hidden="false" customHeight="false" outlineLevel="0" collapsed="false">
      <c r="A468" s="0" t="s">
        <v>96</v>
      </c>
      <c r="B468" s="1" t="s">
        <v>14</v>
      </c>
      <c r="C468" s="1" t="s">
        <v>41</v>
      </c>
      <c r="D468" s="0" t="n">
        <v>8690</v>
      </c>
      <c r="E468" s="0" t="n">
        <v>10970</v>
      </c>
      <c r="F468" s="0" t="n">
        <f aca="false">D468*E468</f>
        <v>95329300</v>
      </c>
      <c r="G468" s="0" t="n">
        <f aca="false">INDEX(마스터!$E:$E,MATCH(C468,마스터!$A:$A,0))</f>
        <v>5480</v>
      </c>
      <c r="H468" s="0" t="n">
        <f aca="false">D468*G468</f>
        <v>47621200</v>
      </c>
    </row>
    <row r="469" customFormat="false" ht="15" hidden="false" customHeight="false" outlineLevel="0" collapsed="false">
      <c r="A469" s="0" t="s">
        <v>96</v>
      </c>
      <c r="B469" s="1" t="s">
        <v>14</v>
      </c>
      <c r="C469" s="1" t="s">
        <v>64</v>
      </c>
      <c r="D469" s="0" t="n">
        <v>4390</v>
      </c>
      <c r="E469" s="0" t="n">
        <v>11620</v>
      </c>
      <c r="F469" s="0" t="n">
        <f aca="false">D469*E469</f>
        <v>51011800</v>
      </c>
      <c r="G469" s="0" t="n">
        <f aca="false">INDEX(마스터!$E:$E,MATCH(C469,마스터!$A:$A,0))</f>
        <v>5890</v>
      </c>
      <c r="H469" s="0" t="n">
        <f aca="false">D469*G469</f>
        <v>25857100</v>
      </c>
    </row>
    <row r="470" customFormat="false" ht="15" hidden="false" customHeight="false" outlineLevel="0" collapsed="false">
      <c r="A470" s="0" t="s">
        <v>96</v>
      </c>
      <c r="B470" s="1" t="s">
        <v>14</v>
      </c>
      <c r="C470" s="1" t="s">
        <v>42</v>
      </c>
      <c r="D470" s="0" t="n">
        <v>7710</v>
      </c>
      <c r="E470" s="0" t="n">
        <v>12270</v>
      </c>
      <c r="F470" s="0" t="n">
        <f aca="false">D470*E470</f>
        <v>94601700</v>
      </c>
      <c r="G470" s="0" t="n">
        <f aca="false">INDEX(마스터!$E:$E,MATCH(C470,마스터!$A:$A,0))</f>
        <v>6730</v>
      </c>
      <c r="H470" s="0" t="n">
        <f aca="false">D470*G470</f>
        <v>51888300</v>
      </c>
    </row>
    <row r="471" customFormat="false" ht="15" hidden="false" customHeight="false" outlineLevel="0" collapsed="false">
      <c r="A471" s="0" t="s">
        <v>96</v>
      </c>
      <c r="B471" s="1" t="s">
        <v>14</v>
      </c>
      <c r="C471" s="1" t="s">
        <v>66</v>
      </c>
      <c r="D471" s="0" t="n">
        <v>16680</v>
      </c>
      <c r="E471" s="0" t="n">
        <v>11940</v>
      </c>
      <c r="F471" s="0" t="n">
        <f aca="false">D471*E471</f>
        <v>199159200</v>
      </c>
      <c r="G471" s="0" t="n">
        <f aca="false">INDEX(마스터!$E:$E,MATCH(C471,마스터!$A:$A,0))</f>
        <v>6360</v>
      </c>
      <c r="H471" s="0" t="n">
        <f aca="false">D471*G471</f>
        <v>106084800</v>
      </c>
    </row>
    <row r="472" customFormat="false" ht="15" hidden="false" customHeight="false" outlineLevel="0" collapsed="false">
      <c r="A472" s="0" t="s">
        <v>96</v>
      </c>
      <c r="B472" s="1" t="s">
        <v>14</v>
      </c>
      <c r="C472" s="1" t="s">
        <v>47</v>
      </c>
      <c r="D472" s="0" t="n">
        <v>4890</v>
      </c>
      <c r="E472" s="0" t="n">
        <v>8390</v>
      </c>
      <c r="F472" s="0" t="n">
        <f aca="false">D472*E472</f>
        <v>41027100</v>
      </c>
      <c r="G472" s="0" t="n">
        <f aca="false">INDEX(마스터!$E:$E,MATCH(C472,마스터!$A:$A,0))</f>
        <v>4170</v>
      </c>
      <c r="H472" s="0" t="n">
        <f aca="false">D472*G472</f>
        <v>20391300</v>
      </c>
    </row>
    <row r="473" customFormat="false" ht="15" hidden="false" customHeight="false" outlineLevel="0" collapsed="false">
      <c r="A473" s="0" t="s">
        <v>96</v>
      </c>
      <c r="B473" s="1" t="s">
        <v>15</v>
      </c>
      <c r="C473" s="1" t="s">
        <v>77</v>
      </c>
      <c r="D473" s="0" t="n">
        <v>5750</v>
      </c>
      <c r="E473" s="0" t="n">
        <v>11030</v>
      </c>
      <c r="F473" s="0" t="n">
        <f aca="false">D473*E473</f>
        <v>63422500</v>
      </c>
      <c r="G473" s="0" t="n">
        <f aca="false">INDEX(마스터!$E:$E,MATCH(C473,마스터!$A:$A,0))</f>
        <v>5380</v>
      </c>
      <c r="H473" s="0" t="n">
        <f aca="false">D473*G473</f>
        <v>30935000</v>
      </c>
    </row>
    <row r="474" customFormat="false" ht="15" hidden="false" customHeight="false" outlineLevel="0" collapsed="false">
      <c r="A474" s="0" t="s">
        <v>96</v>
      </c>
      <c r="B474" s="1" t="s">
        <v>15</v>
      </c>
      <c r="C474" s="1" t="s">
        <v>60</v>
      </c>
      <c r="D474" s="0" t="n">
        <v>5130</v>
      </c>
      <c r="E474" s="0" t="n">
        <v>12650</v>
      </c>
      <c r="F474" s="0" t="n">
        <f aca="false">D474*E474</f>
        <v>64894500</v>
      </c>
      <c r="G474" s="0" t="n">
        <f aca="false">INDEX(마스터!$E:$E,MATCH(C474,마스터!$A:$A,0))</f>
        <v>6980</v>
      </c>
      <c r="H474" s="0" t="n">
        <f aca="false">D474*G474</f>
        <v>35807400</v>
      </c>
    </row>
    <row r="475" customFormat="false" ht="15" hidden="false" customHeight="false" outlineLevel="0" collapsed="false">
      <c r="A475" s="0" t="s">
        <v>96</v>
      </c>
      <c r="B475" s="1" t="s">
        <v>15</v>
      </c>
      <c r="C475" s="1" t="s">
        <v>66</v>
      </c>
      <c r="D475" s="0" t="n">
        <v>11960</v>
      </c>
      <c r="E475" s="0" t="n">
        <v>12010</v>
      </c>
      <c r="F475" s="0" t="n">
        <f aca="false">D475*E475</f>
        <v>143639600</v>
      </c>
      <c r="G475" s="0" t="n">
        <f aca="false">INDEX(마스터!$E:$E,MATCH(C475,마스터!$A:$A,0))</f>
        <v>6360</v>
      </c>
      <c r="H475" s="0" t="n">
        <f aca="false">D475*G475</f>
        <v>76065600</v>
      </c>
    </row>
    <row r="476" customFormat="false" ht="15" hidden="false" customHeight="false" outlineLevel="0" collapsed="false">
      <c r="A476" s="0" t="s">
        <v>96</v>
      </c>
      <c r="B476" s="1" t="s">
        <v>15</v>
      </c>
      <c r="C476" s="1" t="s">
        <v>35</v>
      </c>
      <c r="D476" s="0" t="n">
        <v>4310</v>
      </c>
      <c r="E476" s="0" t="n">
        <v>9730</v>
      </c>
      <c r="F476" s="0" t="n">
        <f aca="false">D476*E476</f>
        <v>41936300</v>
      </c>
      <c r="G476" s="0" t="n">
        <f aca="false">INDEX(마스터!$E:$E,MATCH(C476,마스터!$A:$A,0))</f>
        <v>4920</v>
      </c>
      <c r="H476" s="0" t="n">
        <f aca="false">D476*G476</f>
        <v>21205200</v>
      </c>
    </row>
    <row r="477" customFormat="false" ht="15" hidden="false" customHeight="false" outlineLevel="0" collapsed="false">
      <c r="A477" s="0" t="s">
        <v>96</v>
      </c>
      <c r="B477" s="1" t="s">
        <v>15</v>
      </c>
      <c r="C477" s="1" t="s">
        <v>36</v>
      </c>
      <c r="D477" s="0" t="n">
        <v>4040</v>
      </c>
      <c r="E477" s="0" t="n">
        <v>9410</v>
      </c>
      <c r="F477" s="0" t="n">
        <f aca="false">D477*E477</f>
        <v>38016400</v>
      </c>
      <c r="G477" s="0" t="n">
        <f aca="false">INDEX(마스터!$E:$E,MATCH(C477,마스터!$A:$A,0))</f>
        <v>4540</v>
      </c>
      <c r="H477" s="0" t="n">
        <f aca="false">D477*G477</f>
        <v>18341600</v>
      </c>
    </row>
    <row r="478" customFormat="false" ht="15" hidden="false" customHeight="false" outlineLevel="0" collapsed="false">
      <c r="A478" s="0" t="s">
        <v>96</v>
      </c>
      <c r="B478" s="1" t="s">
        <v>15</v>
      </c>
      <c r="C478" s="1" t="s">
        <v>80</v>
      </c>
      <c r="D478" s="0" t="n">
        <v>3250</v>
      </c>
      <c r="E478" s="0" t="n">
        <v>9090</v>
      </c>
      <c r="F478" s="0" t="n">
        <f aca="false">D478*E478</f>
        <v>29542500</v>
      </c>
      <c r="G478" s="0" t="n">
        <f aca="false">INDEX(마스터!$E:$E,MATCH(C478,마스터!$A:$A,0))</f>
        <v>4690</v>
      </c>
      <c r="H478" s="0" t="n">
        <f aca="false">D478*G478</f>
        <v>15242500</v>
      </c>
    </row>
    <row r="479" customFormat="false" ht="15" hidden="false" customHeight="false" outlineLevel="0" collapsed="false">
      <c r="A479" s="0" t="s">
        <v>96</v>
      </c>
      <c r="B479" s="1" t="s">
        <v>15</v>
      </c>
      <c r="C479" s="1" t="s">
        <v>47</v>
      </c>
      <c r="D479" s="0" t="n">
        <v>3690</v>
      </c>
      <c r="E479" s="0" t="n">
        <v>8440</v>
      </c>
      <c r="F479" s="0" t="n">
        <f aca="false">D479*E479</f>
        <v>31143600</v>
      </c>
      <c r="G479" s="0" t="n">
        <f aca="false">INDEX(마스터!$E:$E,MATCH(C479,마스터!$A:$A,0))</f>
        <v>4170</v>
      </c>
      <c r="H479" s="0" t="n">
        <f aca="false">D479*G479</f>
        <v>15387300</v>
      </c>
    </row>
    <row r="480" customFormat="false" ht="15" hidden="false" customHeight="false" outlineLevel="0" collapsed="false">
      <c r="A480" s="0" t="s">
        <v>96</v>
      </c>
      <c r="B480" s="1" t="s">
        <v>16</v>
      </c>
      <c r="C480" s="1" t="s">
        <v>42</v>
      </c>
      <c r="D480" s="0" t="n">
        <v>4790</v>
      </c>
      <c r="E480" s="0" t="n">
        <v>13420</v>
      </c>
      <c r="F480" s="0" t="n">
        <f aca="false">D480*E480</f>
        <v>64281800</v>
      </c>
      <c r="G480" s="0" t="n">
        <f aca="false">INDEX(마스터!$E:$E,MATCH(C480,마스터!$A:$A,0))</f>
        <v>6730</v>
      </c>
      <c r="H480" s="0" t="n">
        <f aca="false">D480*G480</f>
        <v>32236700</v>
      </c>
    </row>
    <row r="481" customFormat="false" ht="15" hidden="false" customHeight="false" outlineLevel="0" collapsed="false">
      <c r="A481" s="0" t="s">
        <v>96</v>
      </c>
      <c r="B481" s="1" t="s">
        <v>16</v>
      </c>
      <c r="C481" s="1" t="s">
        <v>51</v>
      </c>
      <c r="D481" s="0" t="n">
        <v>4510</v>
      </c>
      <c r="E481" s="0" t="n">
        <v>14480</v>
      </c>
      <c r="F481" s="0" t="n">
        <f aca="false">D481*E481</f>
        <v>65304800</v>
      </c>
      <c r="G481" s="0" t="n">
        <f aca="false">INDEX(마스터!$E:$E,MATCH(C481,마스터!$A:$A,0))</f>
        <v>7480</v>
      </c>
      <c r="H481" s="0" t="n">
        <f aca="false">D481*G481</f>
        <v>33734800</v>
      </c>
    </row>
    <row r="482" customFormat="false" ht="15" hidden="false" customHeight="false" outlineLevel="0" collapsed="false">
      <c r="A482" s="0" t="s">
        <v>96</v>
      </c>
      <c r="B482" s="1" t="s">
        <v>16</v>
      </c>
      <c r="C482" s="1" t="s">
        <v>66</v>
      </c>
      <c r="D482" s="0" t="n">
        <v>7940</v>
      </c>
      <c r="E482" s="0" t="n">
        <v>13060</v>
      </c>
      <c r="F482" s="0" t="n">
        <f aca="false">D482*E482</f>
        <v>103696400</v>
      </c>
      <c r="G482" s="0" t="n">
        <f aca="false">INDEX(마스터!$E:$E,MATCH(C482,마스터!$A:$A,0))</f>
        <v>6360</v>
      </c>
      <c r="H482" s="0" t="n">
        <f aca="false">D482*G482</f>
        <v>50498400</v>
      </c>
    </row>
    <row r="483" customFormat="false" ht="15" hidden="false" customHeight="false" outlineLevel="0" collapsed="false">
      <c r="A483" s="0" t="s">
        <v>96</v>
      </c>
      <c r="B483" s="1" t="s">
        <v>16</v>
      </c>
      <c r="C483" s="1" t="s">
        <v>75</v>
      </c>
      <c r="D483" s="0" t="n">
        <v>3220</v>
      </c>
      <c r="E483" s="0" t="n">
        <v>12000</v>
      </c>
      <c r="F483" s="0" t="n">
        <f aca="false">D483*E483</f>
        <v>38640000</v>
      </c>
      <c r="G483" s="0" t="n">
        <f aca="false">INDEX(마스터!$E:$E,MATCH(C483,마스터!$A:$A,0))</f>
        <v>5440</v>
      </c>
      <c r="H483" s="0" t="n">
        <f aca="false">D483*G483</f>
        <v>17516800</v>
      </c>
    </row>
    <row r="484" customFormat="false" ht="15" hidden="false" customHeight="false" outlineLevel="0" collapsed="false">
      <c r="A484" s="0" t="s">
        <v>96</v>
      </c>
      <c r="B484" s="1" t="s">
        <v>16</v>
      </c>
      <c r="C484" s="1" t="s">
        <v>68</v>
      </c>
      <c r="D484" s="0" t="n">
        <v>4560</v>
      </c>
      <c r="E484" s="0" t="n">
        <v>10590</v>
      </c>
      <c r="F484" s="0" t="n">
        <f aca="false">D484*E484</f>
        <v>48290400</v>
      </c>
      <c r="G484" s="0" t="n">
        <f aca="false">INDEX(마스터!$E:$E,MATCH(C484,마스터!$A:$A,0))</f>
        <v>4880</v>
      </c>
      <c r="H484" s="0" t="n">
        <f aca="false">D484*G484</f>
        <v>22252800</v>
      </c>
    </row>
    <row r="485" customFormat="false" ht="15" hidden="false" customHeight="false" outlineLevel="0" collapsed="false">
      <c r="A485" s="0" t="s">
        <v>96</v>
      </c>
      <c r="B485" s="1" t="s">
        <v>16</v>
      </c>
      <c r="C485" s="1" t="s">
        <v>47</v>
      </c>
      <c r="D485" s="0" t="n">
        <v>3290</v>
      </c>
      <c r="E485" s="0" t="n">
        <v>9180</v>
      </c>
      <c r="F485" s="0" t="n">
        <f aca="false">D485*E485</f>
        <v>30202200</v>
      </c>
      <c r="G485" s="0" t="n">
        <f aca="false">INDEX(마스터!$E:$E,MATCH(C485,마스터!$A:$A,0))</f>
        <v>4170</v>
      </c>
      <c r="H485" s="0" t="n">
        <f aca="false">D485*G485</f>
        <v>13719300</v>
      </c>
    </row>
    <row r="486" customFormat="false" ht="15" hidden="false" customHeight="false" outlineLevel="0" collapsed="false">
      <c r="A486" s="0" t="s">
        <v>96</v>
      </c>
      <c r="B486" s="1" t="s">
        <v>17</v>
      </c>
      <c r="C486" s="1" t="s">
        <v>79</v>
      </c>
      <c r="D486" s="0" t="n">
        <v>2320</v>
      </c>
      <c r="E486" s="0" t="n">
        <v>10940</v>
      </c>
      <c r="F486" s="0" t="n">
        <f aca="false">D486*E486</f>
        <v>25380800</v>
      </c>
      <c r="G486" s="0" t="n">
        <f aca="false">INDEX(마스터!$E:$E,MATCH(C486,마스터!$A:$A,0))</f>
        <v>5990</v>
      </c>
      <c r="H486" s="0" t="n">
        <f aca="false">D486*G486</f>
        <v>13896800</v>
      </c>
    </row>
    <row r="487" customFormat="false" ht="15" hidden="false" customHeight="false" outlineLevel="0" collapsed="false">
      <c r="A487" s="0" t="s">
        <v>96</v>
      </c>
      <c r="B487" s="1" t="s">
        <v>17</v>
      </c>
      <c r="C487" s="1" t="s">
        <v>60</v>
      </c>
      <c r="D487" s="0" t="n">
        <v>3480</v>
      </c>
      <c r="E487" s="0" t="n">
        <v>12550</v>
      </c>
      <c r="F487" s="0" t="n">
        <f aca="false">D487*E487</f>
        <v>43674000</v>
      </c>
      <c r="G487" s="0" t="n">
        <f aca="false">INDEX(마스터!$E:$E,MATCH(C487,마스터!$A:$A,0))</f>
        <v>6980</v>
      </c>
      <c r="H487" s="0" t="n">
        <f aca="false">D487*G487</f>
        <v>24290400</v>
      </c>
    </row>
    <row r="488" customFormat="false" ht="15" hidden="false" customHeight="false" outlineLevel="0" collapsed="false">
      <c r="A488" s="0" t="s">
        <v>96</v>
      </c>
      <c r="B488" s="1" t="s">
        <v>17</v>
      </c>
      <c r="C488" s="1" t="s">
        <v>42</v>
      </c>
      <c r="D488" s="0" t="n">
        <v>3630</v>
      </c>
      <c r="E488" s="0" t="n">
        <v>12230</v>
      </c>
      <c r="F488" s="0" t="n">
        <f aca="false">D488*E488</f>
        <v>44394900</v>
      </c>
      <c r="G488" s="0" t="n">
        <f aca="false">INDEX(마스터!$E:$E,MATCH(C488,마스터!$A:$A,0))</f>
        <v>6730</v>
      </c>
      <c r="H488" s="0" t="n">
        <f aca="false">D488*G488</f>
        <v>24429900</v>
      </c>
    </row>
    <row r="489" customFormat="false" ht="15" hidden="false" customHeight="false" outlineLevel="0" collapsed="false">
      <c r="A489" s="0" t="s">
        <v>96</v>
      </c>
      <c r="B489" s="1" t="s">
        <v>17</v>
      </c>
      <c r="C489" s="1" t="s">
        <v>51</v>
      </c>
      <c r="D489" s="0" t="n">
        <v>3430</v>
      </c>
      <c r="E489" s="0" t="n">
        <v>13190</v>
      </c>
      <c r="F489" s="0" t="n">
        <f aca="false">D489*E489</f>
        <v>45241700</v>
      </c>
      <c r="G489" s="0" t="n">
        <f aca="false">INDEX(마스터!$E:$E,MATCH(C489,마스터!$A:$A,0))</f>
        <v>7480</v>
      </c>
      <c r="H489" s="0" t="n">
        <f aca="false">D489*G489</f>
        <v>25656400</v>
      </c>
    </row>
    <row r="490" customFormat="false" ht="15" hidden="false" customHeight="false" outlineLevel="0" collapsed="false">
      <c r="A490" s="0" t="s">
        <v>96</v>
      </c>
      <c r="B490" s="1" t="s">
        <v>17</v>
      </c>
      <c r="C490" s="1" t="s">
        <v>66</v>
      </c>
      <c r="D490" s="0" t="n">
        <v>6660</v>
      </c>
      <c r="E490" s="0" t="n">
        <v>11910</v>
      </c>
      <c r="F490" s="0" t="n">
        <f aca="false">D490*E490</f>
        <v>79320600</v>
      </c>
      <c r="G490" s="0" t="n">
        <f aca="false">INDEX(마스터!$E:$E,MATCH(C490,마스터!$A:$A,0))</f>
        <v>6360</v>
      </c>
      <c r="H490" s="0" t="n">
        <f aca="false">D490*G490</f>
        <v>42357600</v>
      </c>
    </row>
    <row r="491" customFormat="false" ht="15" hidden="false" customHeight="false" outlineLevel="0" collapsed="false">
      <c r="A491" s="0" t="s">
        <v>96</v>
      </c>
      <c r="B491" s="1" t="s">
        <v>17</v>
      </c>
      <c r="C491" s="1" t="s">
        <v>36</v>
      </c>
      <c r="D491" s="0" t="n">
        <v>2540</v>
      </c>
      <c r="E491" s="0" t="n">
        <v>9330</v>
      </c>
      <c r="F491" s="0" t="n">
        <f aca="false">D491*E491</f>
        <v>23698200</v>
      </c>
      <c r="G491" s="0" t="n">
        <f aca="false">INDEX(마스터!$E:$E,MATCH(C491,마스터!$A:$A,0))</f>
        <v>4540</v>
      </c>
      <c r="H491" s="0" t="n">
        <f aca="false">D491*G491</f>
        <v>11531600</v>
      </c>
    </row>
    <row r="492" customFormat="false" ht="15" hidden="false" customHeight="false" outlineLevel="0" collapsed="false">
      <c r="A492" s="0" t="s">
        <v>96</v>
      </c>
      <c r="B492" s="1" t="s">
        <v>17</v>
      </c>
      <c r="C492" s="1" t="s">
        <v>47</v>
      </c>
      <c r="D492" s="0" t="n">
        <v>1940</v>
      </c>
      <c r="E492" s="0" t="n">
        <v>8370</v>
      </c>
      <c r="F492" s="0" t="n">
        <f aca="false">D492*E492</f>
        <v>16237800</v>
      </c>
      <c r="G492" s="0" t="n">
        <f aca="false">INDEX(마스터!$E:$E,MATCH(C492,마스터!$A:$A,0))</f>
        <v>4170</v>
      </c>
      <c r="H492" s="0" t="n">
        <f aca="false">D492*G492</f>
        <v>8089800</v>
      </c>
    </row>
    <row r="493" customFormat="false" ht="15" hidden="false" customHeight="false" outlineLevel="0" collapsed="false">
      <c r="A493" s="0" t="s">
        <v>96</v>
      </c>
      <c r="B493" s="1" t="s">
        <v>18</v>
      </c>
      <c r="C493" s="1" t="s">
        <v>54</v>
      </c>
      <c r="D493" s="0" t="n">
        <v>3870</v>
      </c>
      <c r="E493" s="0" t="n">
        <v>13390</v>
      </c>
      <c r="F493" s="0" t="n">
        <f aca="false">D493*E493</f>
        <v>51819300</v>
      </c>
      <c r="G493" s="0" t="n">
        <f aca="false">INDEX(마스터!$E:$E,MATCH(C493,마스터!$A:$A,0))</f>
        <v>6790</v>
      </c>
      <c r="H493" s="0" t="n">
        <f aca="false">D493*G493</f>
        <v>26277300</v>
      </c>
    </row>
    <row r="494" customFormat="false" ht="15" hidden="false" customHeight="false" outlineLevel="0" collapsed="false">
      <c r="A494" s="0" t="s">
        <v>96</v>
      </c>
      <c r="B494" s="1" t="s">
        <v>18</v>
      </c>
      <c r="C494" s="1" t="s">
        <v>48</v>
      </c>
      <c r="D494" s="0" t="n">
        <v>4870</v>
      </c>
      <c r="E494" s="0" t="n">
        <v>13040</v>
      </c>
      <c r="F494" s="0" t="n">
        <f aca="false">D494*E494</f>
        <v>63504800</v>
      </c>
      <c r="G494" s="0" t="n">
        <f aca="false">INDEX(마스터!$E:$E,MATCH(C494,마스터!$A:$A,0))</f>
        <v>6440</v>
      </c>
      <c r="H494" s="0" t="n">
        <f aca="false">D494*G494</f>
        <v>31362800</v>
      </c>
    </row>
    <row r="495" customFormat="false" ht="15" hidden="false" customHeight="false" outlineLevel="0" collapsed="false">
      <c r="A495" s="0" t="s">
        <v>96</v>
      </c>
      <c r="B495" s="1" t="s">
        <v>18</v>
      </c>
      <c r="C495" s="1" t="s">
        <v>51</v>
      </c>
      <c r="D495" s="0" t="n">
        <v>4660</v>
      </c>
      <c r="E495" s="0" t="n">
        <v>14450</v>
      </c>
      <c r="F495" s="0" t="n">
        <f aca="false">D495*E495</f>
        <v>67337000</v>
      </c>
      <c r="G495" s="0" t="n">
        <f aca="false">INDEX(마스터!$E:$E,MATCH(C495,마스터!$A:$A,0))</f>
        <v>7480</v>
      </c>
      <c r="H495" s="0" t="n">
        <f aca="false">D495*G495</f>
        <v>34856800</v>
      </c>
    </row>
    <row r="496" customFormat="false" ht="15" hidden="false" customHeight="false" outlineLevel="0" collapsed="false">
      <c r="A496" s="0" t="s">
        <v>96</v>
      </c>
      <c r="B496" s="1" t="s">
        <v>18</v>
      </c>
      <c r="C496" s="1" t="s">
        <v>66</v>
      </c>
      <c r="D496" s="0" t="n">
        <v>8470</v>
      </c>
      <c r="E496" s="0" t="n">
        <v>13040</v>
      </c>
      <c r="F496" s="0" t="n">
        <f aca="false">D496*E496</f>
        <v>110448800</v>
      </c>
      <c r="G496" s="0" t="n">
        <f aca="false">INDEX(마스터!$E:$E,MATCH(C496,마스터!$A:$A,0))</f>
        <v>6360</v>
      </c>
      <c r="H496" s="0" t="n">
        <f aca="false">D496*G496</f>
        <v>53869200</v>
      </c>
    </row>
    <row r="497" customFormat="false" ht="15" hidden="false" customHeight="false" outlineLevel="0" collapsed="false">
      <c r="A497" s="0" t="s">
        <v>96</v>
      </c>
      <c r="B497" s="1" t="s">
        <v>19</v>
      </c>
      <c r="C497" s="1" t="s">
        <v>59</v>
      </c>
      <c r="D497" s="0" t="n">
        <v>4120</v>
      </c>
      <c r="E497" s="0" t="n">
        <v>12970</v>
      </c>
      <c r="F497" s="0" t="n">
        <f aca="false">D497*E497</f>
        <v>53436400</v>
      </c>
      <c r="G497" s="0" t="n">
        <f aca="false">INDEX(마스터!$E:$E,MATCH(C497,마스터!$A:$A,0))</f>
        <v>6520</v>
      </c>
      <c r="H497" s="0" t="n">
        <f aca="false">D497*G497</f>
        <v>26862400</v>
      </c>
    </row>
    <row r="498" customFormat="false" ht="15" hidden="false" customHeight="false" outlineLevel="0" collapsed="false">
      <c r="A498" s="0" t="s">
        <v>96</v>
      </c>
      <c r="B498" s="1" t="s">
        <v>19</v>
      </c>
      <c r="C498" s="1" t="s">
        <v>48</v>
      </c>
      <c r="D498" s="0" t="n">
        <v>3710</v>
      </c>
      <c r="E498" s="0" t="n">
        <v>12000</v>
      </c>
      <c r="F498" s="0" t="n">
        <f aca="false">D498*E498</f>
        <v>44520000</v>
      </c>
      <c r="G498" s="0" t="n">
        <f aca="false">INDEX(마스터!$E:$E,MATCH(C498,마스터!$A:$A,0))</f>
        <v>6440</v>
      </c>
      <c r="H498" s="0" t="n">
        <f aca="false">D498*G498</f>
        <v>23892400</v>
      </c>
    </row>
    <row r="499" customFormat="false" ht="15" hidden="false" customHeight="false" outlineLevel="0" collapsed="false">
      <c r="A499" s="0" t="s">
        <v>96</v>
      </c>
      <c r="B499" s="1" t="s">
        <v>19</v>
      </c>
      <c r="C499" s="1" t="s">
        <v>66</v>
      </c>
      <c r="D499" s="0" t="n">
        <v>7290</v>
      </c>
      <c r="E499" s="0" t="n">
        <v>12000</v>
      </c>
      <c r="F499" s="0" t="n">
        <f aca="false">D499*E499</f>
        <v>87480000</v>
      </c>
      <c r="G499" s="0" t="n">
        <f aca="false">INDEX(마스터!$E:$E,MATCH(C499,마스터!$A:$A,0))</f>
        <v>6360</v>
      </c>
      <c r="H499" s="0" t="n">
        <f aca="false">D499*G499</f>
        <v>46364400</v>
      </c>
    </row>
    <row r="500" customFormat="false" ht="15" hidden="false" customHeight="false" outlineLevel="0" collapsed="false">
      <c r="A500" s="0" t="s">
        <v>96</v>
      </c>
      <c r="B500" s="1" t="s">
        <v>19</v>
      </c>
      <c r="C500" s="1" t="s">
        <v>90</v>
      </c>
      <c r="D500" s="0" t="n">
        <v>2830</v>
      </c>
      <c r="E500" s="0" t="n">
        <v>10700</v>
      </c>
      <c r="F500" s="0" t="n">
        <f aca="false">D500*E500</f>
        <v>30281000</v>
      </c>
      <c r="G500" s="0" t="n">
        <f aca="false">INDEX(마스터!$E:$E,MATCH(C500,마스터!$A:$A,0))</f>
        <v>5290</v>
      </c>
      <c r="H500" s="0" t="n">
        <f aca="false">D500*G500</f>
        <v>14970700</v>
      </c>
    </row>
    <row r="501" customFormat="false" ht="15" hidden="false" customHeight="false" outlineLevel="0" collapsed="false">
      <c r="A501" s="0" t="s">
        <v>96</v>
      </c>
      <c r="B501" s="1" t="s">
        <v>19</v>
      </c>
      <c r="C501" s="1" t="s">
        <v>71</v>
      </c>
      <c r="D501" s="0" t="n">
        <v>2150</v>
      </c>
      <c r="E501" s="0" t="n">
        <v>8430</v>
      </c>
      <c r="F501" s="0" t="n">
        <f aca="false">D501*E501</f>
        <v>18124500</v>
      </c>
      <c r="G501" s="0" t="n">
        <f aca="false">INDEX(마스터!$E:$E,MATCH(C501,마스터!$A:$A,0))</f>
        <v>4330</v>
      </c>
      <c r="H501" s="0" t="n">
        <f aca="false">D501*G501</f>
        <v>9309500</v>
      </c>
    </row>
    <row r="502" customFormat="false" ht="15" hidden="false" customHeight="false" outlineLevel="0" collapsed="false">
      <c r="A502" s="0" t="s">
        <v>96</v>
      </c>
      <c r="B502" s="1" t="s">
        <v>20</v>
      </c>
      <c r="C502" s="1" t="s">
        <v>79</v>
      </c>
      <c r="D502" s="0" t="n">
        <v>2040</v>
      </c>
      <c r="E502" s="0" t="n">
        <v>12080</v>
      </c>
      <c r="F502" s="0" t="n">
        <f aca="false">D502*E502</f>
        <v>24643200</v>
      </c>
      <c r="G502" s="0" t="n">
        <f aca="false">INDEX(마스터!$E:$E,MATCH(C502,마스터!$A:$A,0))</f>
        <v>5990</v>
      </c>
      <c r="H502" s="0" t="n">
        <f aca="false">D502*G502</f>
        <v>12219600</v>
      </c>
    </row>
    <row r="503" customFormat="false" ht="15" hidden="false" customHeight="false" outlineLevel="0" collapsed="false">
      <c r="A503" s="0" t="s">
        <v>96</v>
      </c>
      <c r="B503" s="1" t="s">
        <v>20</v>
      </c>
      <c r="C503" s="1" t="s">
        <v>61</v>
      </c>
      <c r="D503" s="0" t="n">
        <v>3020</v>
      </c>
      <c r="E503" s="0" t="n">
        <v>11010</v>
      </c>
      <c r="F503" s="0" t="n">
        <f aca="false">D503*E503</f>
        <v>33250200</v>
      </c>
      <c r="G503" s="0" t="n">
        <f aca="false">INDEX(마스터!$E:$E,MATCH(C503,마스터!$A:$A,0))</f>
        <v>5390</v>
      </c>
      <c r="H503" s="0" t="n">
        <f aca="false">D503*G503</f>
        <v>16277800</v>
      </c>
    </row>
    <row r="504" customFormat="false" ht="15" hidden="false" customHeight="false" outlineLevel="0" collapsed="false">
      <c r="A504" s="0" t="s">
        <v>96</v>
      </c>
      <c r="B504" s="1" t="s">
        <v>20</v>
      </c>
      <c r="C504" s="1" t="s">
        <v>53</v>
      </c>
      <c r="D504" s="0" t="n">
        <v>3300</v>
      </c>
      <c r="E504" s="0" t="n">
        <v>13860</v>
      </c>
      <c r="F504" s="0" t="n">
        <f aca="false">D504*E504</f>
        <v>45738000</v>
      </c>
      <c r="G504" s="0" t="n">
        <f aca="false">INDEX(마스터!$E:$E,MATCH(C504,마스터!$A:$A,0))</f>
        <v>6630</v>
      </c>
      <c r="H504" s="0" t="n">
        <f aca="false">D504*G504</f>
        <v>21879000</v>
      </c>
    </row>
    <row r="505" customFormat="false" ht="15" hidden="false" customHeight="false" outlineLevel="0" collapsed="false">
      <c r="A505" s="0" t="s">
        <v>96</v>
      </c>
      <c r="B505" s="1" t="s">
        <v>20</v>
      </c>
      <c r="C505" s="1" t="s">
        <v>42</v>
      </c>
      <c r="D505" s="0" t="n">
        <v>2920</v>
      </c>
      <c r="E505" s="0" t="n">
        <v>13500</v>
      </c>
      <c r="F505" s="0" t="n">
        <f aca="false">D505*E505</f>
        <v>39420000</v>
      </c>
      <c r="G505" s="0" t="n">
        <f aca="false">INDEX(마스터!$E:$E,MATCH(C505,마스터!$A:$A,0))</f>
        <v>6730</v>
      </c>
      <c r="H505" s="0" t="n">
        <f aca="false">D505*G505</f>
        <v>19651600</v>
      </c>
    </row>
    <row r="506" customFormat="false" ht="15" hidden="false" customHeight="false" outlineLevel="0" collapsed="false">
      <c r="A506" s="0" t="s">
        <v>96</v>
      </c>
      <c r="B506" s="1" t="s">
        <v>21</v>
      </c>
      <c r="C506" s="1" t="s">
        <v>82</v>
      </c>
      <c r="D506" s="0" t="n">
        <v>3190</v>
      </c>
      <c r="E506" s="0" t="n">
        <v>11220</v>
      </c>
      <c r="F506" s="0" t="n">
        <f aca="false">D506*E506</f>
        <v>35791800</v>
      </c>
      <c r="G506" s="0" t="n">
        <f aca="false">INDEX(마스터!$E:$E,MATCH(C506,마스터!$A:$A,0))</f>
        <v>5660</v>
      </c>
      <c r="H506" s="0" t="n">
        <f aca="false">D506*G506</f>
        <v>18055400</v>
      </c>
    </row>
    <row r="507" customFormat="false" ht="15" hidden="false" customHeight="false" outlineLevel="0" collapsed="false">
      <c r="A507" s="0" t="s">
        <v>96</v>
      </c>
      <c r="B507" s="1" t="s">
        <v>21</v>
      </c>
      <c r="C507" s="1" t="s">
        <v>72</v>
      </c>
      <c r="D507" s="0" t="n">
        <v>4530</v>
      </c>
      <c r="E507" s="0" t="n">
        <v>12270</v>
      </c>
      <c r="F507" s="0" t="n">
        <f aca="false">D507*E507</f>
        <v>55583100</v>
      </c>
      <c r="G507" s="0" t="n">
        <f aca="false">INDEX(마스터!$E:$E,MATCH(C507,마스터!$A:$A,0))</f>
        <v>5920</v>
      </c>
      <c r="H507" s="0" t="n">
        <f aca="false">D507*G507</f>
        <v>26817600</v>
      </c>
    </row>
    <row r="508" customFormat="false" ht="15" hidden="false" customHeight="false" outlineLevel="0" collapsed="false">
      <c r="A508" s="0" t="s">
        <v>96</v>
      </c>
      <c r="B508" s="1" t="s">
        <v>21</v>
      </c>
      <c r="C508" s="1" t="s">
        <v>57</v>
      </c>
      <c r="D508" s="0" t="n">
        <v>3140</v>
      </c>
      <c r="E508" s="0" t="n">
        <v>10520</v>
      </c>
      <c r="F508" s="0" t="n">
        <f aca="false">D508*E508</f>
        <v>33032800</v>
      </c>
      <c r="G508" s="0" t="n">
        <f aca="false">INDEX(마스터!$E:$E,MATCH(C508,마스터!$A:$A,0))</f>
        <v>4870</v>
      </c>
      <c r="H508" s="0" t="n">
        <f aca="false">D508*G508</f>
        <v>15291800</v>
      </c>
    </row>
    <row r="509" customFormat="false" ht="15" hidden="false" customHeight="false" outlineLevel="0" collapsed="false">
      <c r="A509" s="0" t="s">
        <v>96</v>
      </c>
      <c r="B509" s="1" t="s">
        <v>22</v>
      </c>
      <c r="C509" s="1" t="s">
        <v>72</v>
      </c>
      <c r="D509" s="0" t="n">
        <v>6360</v>
      </c>
      <c r="E509" s="0" t="n">
        <v>12260</v>
      </c>
      <c r="F509" s="0" t="n">
        <f aca="false">D509*E509</f>
        <v>77973600</v>
      </c>
      <c r="G509" s="0" t="n">
        <f aca="false">INDEX(마스터!$E:$E,MATCH(C509,마스터!$A:$A,0))</f>
        <v>5920</v>
      </c>
      <c r="H509" s="0" t="n">
        <f aca="false">D509*G509</f>
        <v>37651200</v>
      </c>
    </row>
    <row r="510" customFormat="false" ht="15" hidden="false" customHeight="false" outlineLevel="0" collapsed="false">
      <c r="A510" s="0" t="s">
        <v>96</v>
      </c>
      <c r="B510" s="1" t="s">
        <v>22</v>
      </c>
      <c r="C510" s="1" t="s">
        <v>95</v>
      </c>
      <c r="D510" s="0" t="n">
        <v>2660</v>
      </c>
      <c r="E510" s="0" t="n">
        <v>9110</v>
      </c>
      <c r="F510" s="0" t="n">
        <f aca="false">D510*E510</f>
        <v>24232600</v>
      </c>
      <c r="G510" s="0" t="n">
        <f aca="false">INDEX(마스터!$E:$E,MATCH(C510,마스터!$A:$A,0))</f>
        <v>4420</v>
      </c>
      <c r="H510" s="0" t="n">
        <f aca="false">D510*G510</f>
        <v>11757200</v>
      </c>
    </row>
    <row r="511" customFormat="false" ht="15" hidden="false" customHeight="false" outlineLevel="0" collapsed="false">
      <c r="A511" s="0" t="s">
        <v>96</v>
      </c>
      <c r="B511" s="1" t="s">
        <v>23</v>
      </c>
      <c r="C511" s="1" t="s">
        <v>77</v>
      </c>
      <c r="D511" s="0" t="n">
        <v>4140</v>
      </c>
      <c r="E511" s="0" t="n">
        <v>11840</v>
      </c>
      <c r="F511" s="0" t="n">
        <f aca="false">D511*E511</f>
        <v>49017600</v>
      </c>
      <c r="G511" s="0" t="n">
        <f aca="false">INDEX(마스터!$E:$E,MATCH(C511,마스터!$A:$A,0))</f>
        <v>5380</v>
      </c>
      <c r="H511" s="0" t="n">
        <f aca="false">D511*G511</f>
        <v>22273200</v>
      </c>
    </row>
    <row r="512" customFormat="false" ht="15" hidden="false" customHeight="false" outlineLevel="0" collapsed="false">
      <c r="A512" s="0" t="s">
        <v>96</v>
      </c>
      <c r="B512" s="1" t="s">
        <v>23</v>
      </c>
      <c r="C512" s="1" t="s">
        <v>59</v>
      </c>
      <c r="D512" s="0" t="n">
        <v>3850</v>
      </c>
      <c r="E512" s="0" t="n">
        <v>13930</v>
      </c>
      <c r="F512" s="0" t="n">
        <f aca="false">D512*E512</f>
        <v>53630500</v>
      </c>
      <c r="G512" s="0" t="n">
        <f aca="false">INDEX(마스터!$E:$E,MATCH(C512,마스터!$A:$A,0))</f>
        <v>6520</v>
      </c>
      <c r="H512" s="0" t="n">
        <f aca="false">D512*G512</f>
        <v>25102000</v>
      </c>
    </row>
    <row r="513" customFormat="false" ht="15" hidden="false" customHeight="false" outlineLevel="0" collapsed="false">
      <c r="A513" s="0" t="s">
        <v>96</v>
      </c>
      <c r="B513" s="1" t="s">
        <v>25</v>
      </c>
      <c r="C513" s="1" t="s">
        <v>90</v>
      </c>
      <c r="D513" s="0" t="n">
        <v>2550</v>
      </c>
      <c r="E513" s="0" t="n">
        <v>11530</v>
      </c>
      <c r="F513" s="0" t="n">
        <f aca="false">D513*E513</f>
        <v>29401500</v>
      </c>
      <c r="G513" s="0" t="n">
        <f aca="false">INDEX(마스터!$E:$E,MATCH(C513,마스터!$A:$A,0))</f>
        <v>5290</v>
      </c>
      <c r="H513" s="0" t="n">
        <f aca="false">D513*G513</f>
        <v>13489500</v>
      </c>
    </row>
    <row r="514" customFormat="false" ht="15" hidden="false" customHeight="false" outlineLevel="0" collapsed="false">
      <c r="A514" s="0" t="s">
        <v>96</v>
      </c>
      <c r="B514" s="1" t="s">
        <v>25</v>
      </c>
      <c r="C514" s="1" t="s">
        <v>47</v>
      </c>
      <c r="D514" s="0" t="n">
        <v>2410</v>
      </c>
      <c r="E514" s="0" t="n">
        <v>9090</v>
      </c>
      <c r="F514" s="0" t="n">
        <f aca="false">D514*E514</f>
        <v>21906900</v>
      </c>
      <c r="G514" s="0" t="n">
        <f aca="false">INDEX(마스터!$E:$E,MATCH(C514,마스터!$A:$A,0))</f>
        <v>4170</v>
      </c>
      <c r="H514" s="0" t="n">
        <f aca="false">D514*G514</f>
        <v>10049700</v>
      </c>
    </row>
    <row r="515" customFormat="false" ht="15" hidden="false" customHeight="false" outlineLevel="0" collapsed="false">
      <c r="A515" s="0" t="s">
        <v>96</v>
      </c>
      <c r="B515" s="1" t="s">
        <v>24</v>
      </c>
      <c r="C515" s="1" t="s">
        <v>41</v>
      </c>
      <c r="D515" s="0" t="n">
        <v>3110</v>
      </c>
      <c r="E515" s="0" t="n">
        <v>11940</v>
      </c>
      <c r="F515" s="0" t="n">
        <f aca="false">D515*E515</f>
        <v>37133400</v>
      </c>
      <c r="G515" s="0" t="n">
        <f aca="false">INDEX(마스터!$E:$E,MATCH(C515,마스터!$A:$A,0))</f>
        <v>5480</v>
      </c>
      <c r="H515" s="0" t="n">
        <f aca="false">D515*G515</f>
        <v>17042800</v>
      </c>
    </row>
    <row r="516" customFormat="false" ht="15" hidden="false" customHeight="false" outlineLevel="0" collapsed="false">
      <c r="A516" s="0" t="s">
        <v>96</v>
      </c>
      <c r="B516" s="1" t="s">
        <v>24</v>
      </c>
      <c r="C516" s="1" t="s">
        <v>55</v>
      </c>
      <c r="D516" s="0" t="n">
        <v>3450</v>
      </c>
      <c r="E516" s="0" t="n">
        <v>13000</v>
      </c>
      <c r="F516" s="0" t="n">
        <f aca="false">D516*E516</f>
        <v>44850000</v>
      </c>
      <c r="G516" s="0" t="n">
        <f aca="false">INDEX(마스터!$E:$E,MATCH(C516,마스터!$A:$A,0))</f>
        <v>6040</v>
      </c>
      <c r="H516" s="0" t="n">
        <f aca="false">D516*G516</f>
        <v>20838000</v>
      </c>
    </row>
    <row r="517" customFormat="false" ht="15" hidden="false" customHeight="false" outlineLevel="0" collapsed="false">
      <c r="A517" s="0" t="s">
        <v>97</v>
      </c>
      <c r="B517" s="1" t="s">
        <v>14</v>
      </c>
      <c r="C517" s="1" t="s">
        <v>37</v>
      </c>
      <c r="D517" s="0" t="n">
        <v>6670</v>
      </c>
      <c r="E517" s="0" t="n">
        <v>9660</v>
      </c>
      <c r="F517" s="0" t="n">
        <f aca="false">D517*E517</f>
        <v>64432200</v>
      </c>
      <c r="G517" s="0" t="n">
        <f aca="false">INDEX(마스터!$E:$E,MATCH(C517,마스터!$A:$A,0))</f>
        <v>4900</v>
      </c>
      <c r="H517" s="0" t="n">
        <f aca="false">D517*G517</f>
        <v>32683000</v>
      </c>
    </row>
    <row r="518" customFormat="false" ht="15" hidden="false" customHeight="false" outlineLevel="0" collapsed="false">
      <c r="A518" s="0" t="s">
        <v>97</v>
      </c>
      <c r="B518" s="1" t="s">
        <v>14</v>
      </c>
      <c r="C518" s="1" t="s">
        <v>41</v>
      </c>
      <c r="D518" s="0" t="n">
        <v>13630</v>
      </c>
      <c r="E518" s="0" t="n">
        <v>10950</v>
      </c>
      <c r="F518" s="0" t="n">
        <f aca="false">D518*E518</f>
        <v>149248500</v>
      </c>
      <c r="G518" s="0" t="n">
        <f aca="false">INDEX(마스터!$E:$E,MATCH(C518,마스터!$A:$A,0))</f>
        <v>5480</v>
      </c>
      <c r="H518" s="0" t="n">
        <f aca="false">D518*G518</f>
        <v>74692400</v>
      </c>
    </row>
    <row r="519" customFormat="false" ht="15" hidden="false" customHeight="false" outlineLevel="0" collapsed="false">
      <c r="A519" s="0" t="s">
        <v>97</v>
      </c>
      <c r="B519" s="1" t="s">
        <v>14</v>
      </c>
      <c r="C519" s="1" t="s">
        <v>54</v>
      </c>
      <c r="D519" s="0" t="n">
        <v>5570</v>
      </c>
      <c r="E519" s="0" t="n">
        <v>12230</v>
      </c>
      <c r="F519" s="0" t="n">
        <f aca="false">D519*E519</f>
        <v>68121100</v>
      </c>
      <c r="G519" s="0" t="n">
        <f aca="false">INDEX(마스터!$E:$E,MATCH(C519,마스터!$A:$A,0))</f>
        <v>6790</v>
      </c>
      <c r="H519" s="0" t="n">
        <f aca="false">D519*G519</f>
        <v>37820300</v>
      </c>
    </row>
    <row r="520" customFormat="false" ht="15" hidden="false" customHeight="false" outlineLevel="0" collapsed="false">
      <c r="A520" s="0" t="s">
        <v>97</v>
      </c>
      <c r="B520" s="1" t="s">
        <v>14</v>
      </c>
      <c r="C520" s="1" t="s">
        <v>34</v>
      </c>
      <c r="D520" s="0" t="n">
        <v>8650</v>
      </c>
      <c r="E520" s="0" t="n">
        <v>11910</v>
      </c>
      <c r="F520" s="0" t="n">
        <f aca="false">D520*E520</f>
        <v>103021500</v>
      </c>
      <c r="G520" s="0" t="n">
        <f aca="false">INDEX(마스터!$E:$E,MATCH(C520,마스터!$A:$A,0))</f>
        <v>6630</v>
      </c>
      <c r="H520" s="0" t="n">
        <f aca="false">D520*G520</f>
        <v>57349500</v>
      </c>
    </row>
    <row r="521" customFormat="false" ht="15" hidden="false" customHeight="false" outlineLevel="0" collapsed="false">
      <c r="A521" s="0" t="s">
        <v>97</v>
      </c>
      <c r="B521" s="1" t="s">
        <v>14</v>
      </c>
      <c r="C521" s="1" t="s">
        <v>88</v>
      </c>
      <c r="D521" s="0" t="n">
        <v>4400</v>
      </c>
      <c r="E521" s="0" t="n">
        <v>10950</v>
      </c>
      <c r="F521" s="0" t="n">
        <f aca="false">D521*E521</f>
        <v>48180000</v>
      </c>
      <c r="G521" s="0" t="n">
        <f aca="false">INDEX(마스터!$E:$E,MATCH(C521,마스터!$A:$A,0))</f>
        <v>5930</v>
      </c>
      <c r="H521" s="0" t="n">
        <f aca="false">D521*G521</f>
        <v>26092000</v>
      </c>
    </row>
    <row r="522" customFormat="false" ht="15" hidden="false" customHeight="false" outlineLevel="0" collapsed="false">
      <c r="A522" s="0" t="s">
        <v>97</v>
      </c>
      <c r="B522" s="1" t="s">
        <v>14</v>
      </c>
      <c r="C522" s="1" t="s">
        <v>44</v>
      </c>
      <c r="D522" s="0" t="n">
        <v>5910</v>
      </c>
      <c r="E522" s="0" t="n">
        <v>10950</v>
      </c>
      <c r="F522" s="0" t="n">
        <f aca="false">D522*E522</f>
        <v>64714500</v>
      </c>
      <c r="G522" s="0" t="n">
        <f aca="false">INDEX(마스터!$E:$E,MATCH(C522,마스터!$A:$A,0))</f>
        <v>5500</v>
      </c>
      <c r="H522" s="0" t="n">
        <f aca="false">D522*G522</f>
        <v>32505000</v>
      </c>
    </row>
    <row r="523" customFormat="false" ht="15" hidden="false" customHeight="false" outlineLevel="0" collapsed="false">
      <c r="A523" s="0" t="s">
        <v>97</v>
      </c>
      <c r="B523" s="1" t="s">
        <v>14</v>
      </c>
      <c r="C523" s="1" t="s">
        <v>47</v>
      </c>
      <c r="D523" s="0" t="n">
        <v>5440</v>
      </c>
      <c r="E523" s="0" t="n">
        <v>8370</v>
      </c>
      <c r="F523" s="0" t="n">
        <f aca="false">D523*E523</f>
        <v>45532800</v>
      </c>
      <c r="G523" s="0" t="n">
        <f aca="false">INDEX(마스터!$E:$E,MATCH(C523,마스터!$A:$A,0))</f>
        <v>4170</v>
      </c>
      <c r="H523" s="0" t="n">
        <f aca="false">D523*G523</f>
        <v>22684800</v>
      </c>
    </row>
    <row r="524" customFormat="false" ht="15" hidden="false" customHeight="false" outlineLevel="0" collapsed="false">
      <c r="A524" s="0" t="s">
        <v>97</v>
      </c>
      <c r="B524" s="1" t="s">
        <v>15</v>
      </c>
      <c r="C524" s="1" t="s">
        <v>37</v>
      </c>
      <c r="D524" s="0" t="n">
        <v>7210</v>
      </c>
      <c r="E524" s="0" t="n">
        <v>9770</v>
      </c>
      <c r="F524" s="0" t="n">
        <f aca="false">D524*E524</f>
        <v>70441700</v>
      </c>
      <c r="G524" s="0" t="n">
        <f aca="false">INDEX(마스터!$E:$E,MATCH(C524,마스터!$A:$A,0))</f>
        <v>4900</v>
      </c>
      <c r="H524" s="0" t="n">
        <f aca="false">D524*G524</f>
        <v>35329000</v>
      </c>
    </row>
    <row r="525" customFormat="false" ht="15" hidden="false" customHeight="false" outlineLevel="0" collapsed="false">
      <c r="A525" s="0" t="s">
        <v>97</v>
      </c>
      <c r="B525" s="1" t="s">
        <v>15</v>
      </c>
      <c r="C525" s="1" t="s">
        <v>41</v>
      </c>
      <c r="D525" s="0" t="n">
        <v>11910</v>
      </c>
      <c r="E525" s="0" t="n">
        <v>11070</v>
      </c>
      <c r="F525" s="0" t="n">
        <f aca="false">D525*E525</f>
        <v>131843700</v>
      </c>
      <c r="G525" s="0" t="n">
        <f aca="false">INDEX(마스터!$E:$E,MATCH(C525,마스터!$A:$A,0))</f>
        <v>5480</v>
      </c>
      <c r="H525" s="0" t="n">
        <f aca="false">D525*G525</f>
        <v>65266800</v>
      </c>
    </row>
    <row r="526" customFormat="false" ht="15" hidden="false" customHeight="false" outlineLevel="0" collapsed="false">
      <c r="A526" s="0" t="s">
        <v>97</v>
      </c>
      <c r="B526" s="1" t="s">
        <v>15</v>
      </c>
      <c r="C526" s="1" t="s">
        <v>55</v>
      </c>
      <c r="D526" s="0" t="n">
        <v>5550</v>
      </c>
      <c r="E526" s="0" t="n">
        <v>12050</v>
      </c>
      <c r="F526" s="0" t="n">
        <f aca="false">D526*E526</f>
        <v>66877500</v>
      </c>
      <c r="G526" s="0" t="n">
        <f aca="false">INDEX(마스터!$E:$E,MATCH(C526,마스터!$A:$A,0))</f>
        <v>6040</v>
      </c>
      <c r="H526" s="0" t="n">
        <f aca="false">D526*G526</f>
        <v>33522000</v>
      </c>
    </row>
    <row r="527" customFormat="false" ht="15" hidden="false" customHeight="false" outlineLevel="0" collapsed="false">
      <c r="A527" s="0" t="s">
        <v>97</v>
      </c>
      <c r="B527" s="1" t="s">
        <v>15</v>
      </c>
      <c r="C527" s="1" t="s">
        <v>43</v>
      </c>
      <c r="D527" s="0" t="n">
        <v>4230</v>
      </c>
      <c r="E527" s="0" t="n">
        <v>11720</v>
      </c>
      <c r="F527" s="0" t="n">
        <f aca="false">D527*E527</f>
        <v>49575600</v>
      </c>
      <c r="G527" s="0" t="n">
        <f aca="false">INDEX(마스터!$E:$E,MATCH(C527,마스터!$A:$A,0))</f>
        <v>6350</v>
      </c>
      <c r="H527" s="0" t="n">
        <f aca="false">D527*G527</f>
        <v>26860500</v>
      </c>
    </row>
    <row r="528" customFormat="false" ht="15" hidden="false" customHeight="false" outlineLevel="0" collapsed="false">
      <c r="A528" s="0" t="s">
        <v>97</v>
      </c>
      <c r="B528" s="1" t="s">
        <v>15</v>
      </c>
      <c r="C528" s="1" t="s">
        <v>66</v>
      </c>
      <c r="D528" s="0" t="n">
        <v>6130</v>
      </c>
      <c r="E528" s="0" t="n">
        <v>12050</v>
      </c>
      <c r="F528" s="0" t="n">
        <f aca="false">D528*E528</f>
        <v>73866500</v>
      </c>
      <c r="G528" s="0" t="n">
        <f aca="false">INDEX(마스터!$E:$E,MATCH(C528,마스터!$A:$A,0))</f>
        <v>6360</v>
      </c>
      <c r="H528" s="0" t="n">
        <f aca="false">D528*G528</f>
        <v>38986800</v>
      </c>
    </row>
    <row r="529" customFormat="false" ht="15" hidden="false" customHeight="false" outlineLevel="0" collapsed="false">
      <c r="A529" s="0" t="s">
        <v>97</v>
      </c>
      <c r="B529" s="1" t="s">
        <v>15</v>
      </c>
      <c r="C529" s="1" t="s">
        <v>75</v>
      </c>
      <c r="D529" s="0" t="n">
        <v>5480</v>
      </c>
      <c r="E529" s="0" t="n">
        <v>11070</v>
      </c>
      <c r="F529" s="0" t="n">
        <f aca="false">D529*E529</f>
        <v>60663600</v>
      </c>
      <c r="G529" s="0" t="n">
        <f aca="false">INDEX(마스터!$E:$E,MATCH(C529,마스터!$A:$A,0))</f>
        <v>5440</v>
      </c>
      <c r="H529" s="0" t="n">
        <f aca="false">D529*G529</f>
        <v>29811200</v>
      </c>
    </row>
    <row r="530" customFormat="false" ht="15" hidden="false" customHeight="false" outlineLevel="0" collapsed="false">
      <c r="A530" s="0" t="s">
        <v>97</v>
      </c>
      <c r="B530" s="1" t="s">
        <v>15</v>
      </c>
      <c r="C530" s="1" t="s">
        <v>47</v>
      </c>
      <c r="D530" s="0" t="n">
        <v>6530</v>
      </c>
      <c r="E530" s="0" t="n">
        <v>8470</v>
      </c>
      <c r="F530" s="0" t="n">
        <f aca="false">D530*E530</f>
        <v>55309100</v>
      </c>
      <c r="G530" s="0" t="n">
        <f aca="false">INDEX(마스터!$E:$E,MATCH(C530,마스터!$A:$A,0))</f>
        <v>4170</v>
      </c>
      <c r="H530" s="0" t="n">
        <f aca="false">D530*G530</f>
        <v>27230100</v>
      </c>
    </row>
    <row r="531" customFormat="false" ht="15" hidden="false" customHeight="false" outlineLevel="0" collapsed="false">
      <c r="A531" s="0" t="s">
        <v>97</v>
      </c>
      <c r="B531" s="1" t="s">
        <v>16</v>
      </c>
      <c r="C531" s="1" t="s">
        <v>41</v>
      </c>
      <c r="D531" s="0" t="n">
        <v>5970</v>
      </c>
      <c r="E531" s="0" t="n">
        <v>12010</v>
      </c>
      <c r="F531" s="0" t="n">
        <f aca="false">D531*E531</f>
        <v>71699700</v>
      </c>
      <c r="G531" s="0" t="n">
        <f aca="false">INDEX(마스터!$E:$E,MATCH(C531,마스터!$A:$A,0))</f>
        <v>5480</v>
      </c>
      <c r="H531" s="0" t="n">
        <f aca="false">D531*G531</f>
        <v>32715600</v>
      </c>
    </row>
    <row r="532" customFormat="false" ht="15" hidden="false" customHeight="false" outlineLevel="0" collapsed="false">
      <c r="A532" s="0" t="s">
        <v>97</v>
      </c>
      <c r="B532" s="1" t="s">
        <v>16</v>
      </c>
      <c r="C532" s="1" t="s">
        <v>33</v>
      </c>
      <c r="D532" s="0" t="n">
        <v>6300</v>
      </c>
      <c r="E532" s="0" t="n">
        <v>13430</v>
      </c>
      <c r="F532" s="0" t="n">
        <f aca="false">D532*E532</f>
        <v>84609000</v>
      </c>
      <c r="G532" s="0" t="n">
        <f aca="false">INDEX(마스터!$E:$E,MATCH(C532,마스터!$A:$A,0))</f>
        <v>6790</v>
      </c>
      <c r="H532" s="0" t="n">
        <f aca="false">D532*G532</f>
        <v>42777000</v>
      </c>
    </row>
    <row r="533" customFormat="false" ht="15" hidden="false" customHeight="false" outlineLevel="0" collapsed="false">
      <c r="A533" s="0" t="s">
        <v>97</v>
      </c>
      <c r="B533" s="1" t="s">
        <v>16</v>
      </c>
      <c r="C533" s="1" t="s">
        <v>66</v>
      </c>
      <c r="D533" s="0" t="n">
        <v>6980</v>
      </c>
      <c r="E533" s="0" t="n">
        <v>13070</v>
      </c>
      <c r="F533" s="0" t="n">
        <f aca="false">D533*E533</f>
        <v>91228600</v>
      </c>
      <c r="G533" s="0" t="n">
        <f aca="false">INDEX(마스터!$E:$E,MATCH(C533,마스터!$A:$A,0))</f>
        <v>6360</v>
      </c>
      <c r="H533" s="0" t="n">
        <f aca="false">D533*G533</f>
        <v>44392800</v>
      </c>
    </row>
    <row r="534" customFormat="false" ht="15" hidden="false" customHeight="false" outlineLevel="0" collapsed="false">
      <c r="A534" s="0" t="s">
        <v>97</v>
      </c>
      <c r="B534" s="1" t="s">
        <v>16</v>
      </c>
      <c r="C534" s="1" t="s">
        <v>44</v>
      </c>
      <c r="D534" s="0" t="n">
        <v>4430</v>
      </c>
      <c r="E534" s="0" t="n">
        <v>12010</v>
      </c>
      <c r="F534" s="0" t="n">
        <f aca="false">D534*E534</f>
        <v>53204300</v>
      </c>
      <c r="G534" s="0" t="n">
        <f aca="false">INDEX(마스터!$E:$E,MATCH(C534,마스터!$A:$A,0))</f>
        <v>5500</v>
      </c>
      <c r="H534" s="0" t="n">
        <f aca="false">D534*G534</f>
        <v>24365000</v>
      </c>
    </row>
    <row r="535" customFormat="false" ht="15" hidden="false" customHeight="false" outlineLevel="0" collapsed="false">
      <c r="A535" s="0" t="s">
        <v>97</v>
      </c>
      <c r="B535" s="1" t="s">
        <v>16</v>
      </c>
      <c r="C535" s="1" t="s">
        <v>68</v>
      </c>
      <c r="D535" s="0" t="n">
        <v>7070</v>
      </c>
      <c r="E535" s="0" t="n">
        <v>10600</v>
      </c>
      <c r="F535" s="0" t="n">
        <f aca="false">D535*E535</f>
        <v>74942000</v>
      </c>
      <c r="G535" s="0" t="n">
        <f aca="false">INDEX(마스터!$E:$E,MATCH(C535,마스터!$A:$A,0))</f>
        <v>4880</v>
      </c>
      <c r="H535" s="0" t="n">
        <f aca="false">D535*G535</f>
        <v>34501600</v>
      </c>
    </row>
    <row r="536" customFormat="false" ht="15" hidden="false" customHeight="false" outlineLevel="0" collapsed="false">
      <c r="A536" s="0" t="s">
        <v>97</v>
      </c>
      <c r="B536" s="1" t="s">
        <v>16</v>
      </c>
      <c r="C536" s="1" t="s">
        <v>47</v>
      </c>
      <c r="D536" s="0" t="n">
        <v>5460</v>
      </c>
      <c r="E536" s="0" t="n">
        <v>9190</v>
      </c>
      <c r="F536" s="0" t="n">
        <f aca="false">D536*E536</f>
        <v>50177400</v>
      </c>
      <c r="G536" s="0" t="n">
        <f aca="false">INDEX(마스터!$E:$E,MATCH(C536,마스터!$A:$A,0))</f>
        <v>4170</v>
      </c>
      <c r="H536" s="0" t="n">
        <f aca="false">D536*G536</f>
        <v>22768200</v>
      </c>
    </row>
    <row r="537" customFormat="false" ht="15" hidden="false" customHeight="false" outlineLevel="0" collapsed="false">
      <c r="A537" s="0" t="s">
        <v>97</v>
      </c>
      <c r="B537" s="1" t="s">
        <v>17</v>
      </c>
      <c r="C537" s="1" t="s">
        <v>41</v>
      </c>
      <c r="D537" s="0" t="n">
        <v>7090</v>
      </c>
      <c r="E537" s="0" t="n">
        <v>10960</v>
      </c>
      <c r="F537" s="0" t="n">
        <f aca="false">D537*E537</f>
        <v>77706400</v>
      </c>
      <c r="G537" s="0" t="n">
        <f aca="false">INDEX(마스터!$E:$E,MATCH(C537,마스터!$A:$A,0))</f>
        <v>5480</v>
      </c>
      <c r="H537" s="0" t="n">
        <f aca="false">D537*G537</f>
        <v>38853200</v>
      </c>
    </row>
    <row r="538" customFormat="false" ht="15" hidden="false" customHeight="false" outlineLevel="0" collapsed="false">
      <c r="A538" s="0" t="s">
        <v>97</v>
      </c>
      <c r="B538" s="1" t="s">
        <v>17</v>
      </c>
      <c r="C538" s="1" t="s">
        <v>69</v>
      </c>
      <c r="D538" s="0" t="n">
        <v>3510</v>
      </c>
      <c r="E538" s="0" t="n">
        <v>11610</v>
      </c>
      <c r="F538" s="0" t="n">
        <f aca="false">D538*E538</f>
        <v>40751100</v>
      </c>
      <c r="G538" s="0" t="n">
        <f aca="false">INDEX(마스터!$E:$E,MATCH(C538,마스터!$A:$A,0))</f>
        <v>6140</v>
      </c>
      <c r="H538" s="0" t="n">
        <f aca="false">D538*G538</f>
        <v>21551400</v>
      </c>
    </row>
    <row r="539" customFormat="false" ht="15" hidden="false" customHeight="false" outlineLevel="0" collapsed="false">
      <c r="A539" s="0" t="s">
        <v>97</v>
      </c>
      <c r="B539" s="1" t="s">
        <v>17</v>
      </c>
      <c r="C539" s="1" t="s">
        <v>54</v>
      </c>
      <c r="D539" s="0" t="n">
        <v>3660</v>
      </c>
      <c r="E539" s="0" t="n">
        <v>12250</v>
      </c>
      <c r="F539" s="0" t="n">
        <f aca="false">D539*E539</f>
        <v>44835000</v>
      </c>
      <c r="G539" s="0" t="n">
        <f aca="false">INDEX(마스터!$E:$E,MATCH(C539,마스터!$A:$A,0))</f>
        <v>6790</v>
      </c>
      <c r="H539" s="0" t="n">
        <f aca="false">D539*G539</f>
        <v>24851400</v>
      </c>
    </row>
    <row r="540" customFormat="false" ht="15" hidden="false" customHeight="false" outlineLevel="0" collapsed="false">
      <c r="A540" s="0" t="s">
        <v>97</v>
      </c>
      <c r="B540" s="1" t="s">
        <v>17</v>
      </c>
      <c r="C540" s="1" t="s">
        <v>51</v>
      </c>
      <c r="D540" s="0" t="n">
        <v>5030</v>
      </c>
      <c r="E540" s="0" t="n">
        <v>13220</v>
      </c>
      <c r="F540" s="0" t="n">
        <f aca="false">D540*E540</f>
        <v>66496600</v>
      </c>
      <c r="G540" s="0" t="n">
        <f aca="false">INDEX(마스터!$E:$E,MATCH(C540,마스터!$A:$A,0))</f>
        <v>7480</v>
      </c>
      <c r="H540" s="0" t="n">
        <f aca="false">D540*G540</f>
        <v>37624400</v>
      </c>
    </row>
    <row r="541" customFormat="false" ht="15" hidden="false" customHeight="false" outlineLevel="0" collapsed="false">
      <c r="A541" s="0" t="s">
        <v>97</v>
      </c>
      <c r="B541" s="1" t="s">
        <v>17</v>
      </c>
      <c r="C541" s="1" t="s">
        <v>81</v>
      </c>
      <c r="D541" s="0" t="n">
        <v>3530</v>
      </c>
      <c r="E541" s="0" t="n">
        <v>11610</v>
      </c>
      <c r="F541" s="0" t="n">
        <f aca="false">D541*E541</f>
        <v>40983300</v>
      </c>
      <c r="G541" s="0" t="n">
        <f aca="false">INDEX(마스터!$E:$E,MATCH(C541,마스터!$A:$A,0))</f>
        <v>6220</v>
      </c>
      <c r="H541" s="0" t="n">
        <f aca="false">D541*G541</f>
        <v>21956600</v>
      </c>
    </row>
    <row r="542" customFormat="false" ht="15" hidden="false" customHeight="false" outlineLevel="0" collapsed="false">
      <c r="A542" s="0" t="s">
        <v>97</v>
      </c>
      <c r="B542" s="1" t="s">
        <v>17</v>
      </c>
      <c r="C542" s="1" t="s">
        <v>36</v>
      </c>
      <c r="D542" s="0" t="n">
        <v>2770</v>
      </c>
      <c r="E542" s="0" t="n">
        <v>9350</v>
      </c>
      <c r="F542" s="0" t="n">
        <f aca="false">D542*E542</f>
        <v>25899500</v>
      </c>
      <c r="G542" s="0" t="n">
        <f aca="false">INDEX(마스터!$E:$E,MATCH(C542,마스터!$A:$A,0))</f>
        <v>4540</v>
      </c>
      <c r="H542" s="0" t="n">
        <f aca="false">D542*G542</f>
        <v>12575800</v>
      </c>
    </row>
    <row r="543" customFormat="false" ht="15" hidden="false" customHeight="false" outlineLevel="0" collapsed="false">
      <c r="A543" s="0" t="s">
        <v>97</v>
      </c>
      <c r="B543" s="1" t="s">
        <v>17</v>
      </c>
      <c r="C543" s="1" t="s">
        <v>47</v>
      </c>
      <c r="D543" s="0" t="n">
        <v>4170</v>
      </c>
      <c r="E543" s="0" t="n">
        <v>8380</v>
      </c>
      <c r="F543" s="0" t="n">
        <f aca="false">D543*E543</f>
        <v>34944600</v>
      </c>
      <c r="G543" s="0" t="n">
        <f aca="false">INDEX(마스터!$E:$E,MATCH(C543,마스터!$A:$A,0))</f>
        <v>4170</v>
      </c>
      <c r="H543" s="0" t="n">
        <f aca="false">D543*G543</f>
        <v>17388900</v>
      </c>
    </row>
    <row r="544" customFormat="false" ht="15" hidden="false" customHeight="false" outlineLevel="0" collapsed="false">
      <c r="A544" s="0" t="s">
        <v>97</v>
      </c>
      <c r="B544" s="1" t="s">
        <v>18</v>
      </c>
      <c r="C544" s="1" t="s">
        <v>82</v>
      </c>
      <c r="D544" s="0" t="n">
        <v>6210</v>
      </c>
      <c r="E544" s="0" t="n">
        <v>11270</v>
      </c>
      <c r="F544" s="0" t="n">
        <f aca="false">D544*E544</f>
        <v>69986700</v>
      </c>
      <c r="G544" s="0" t="n">
        <f aca="false">INDEX(마스터!$E:$E,MATCH(C544,마스터!$A:$A,0))</f>
        <v>5660</v>
      </c>
      <c r="H544" s="0" t="n">
        <f aca="false">D544*G544</f>
        <v>35148600</v>
      </c>
    </row>
    <row r="545" customFormat="false" ht="15" hidden="false" customHeight="false" outlineLevel="0" collapsed="false">
      <c r="A545" s="0" t="s">
        <v>97</v>
      </c>
      <c r="B545" s="1" t="s">
        <v>18</v>
      </c>
      <c r="C545" s="1" t="s">
        <v>54</v>
      </c>
      <c r="D545" s="0" t="n">
        <v>5700</v>
      </c>
      <c r="E545" s="0" t="n">
        <v>13390</v>
      </c>
      <c r="F545" s="0" t="n">
        <f aca="false">D545*E545</f>
        <v>76323000</v>
      </c>
      <c r="G545" s="0" t="n">
        <f aca="false">INDEX(마스터!$E:$E,MATCH(C545,마스터!$A:$A,0))</f>
        <v>6790</v>
      </c>
      <c r="H545" s="0" t="n">
        <f aca="false">D545*G545</f>
        <v>38703000</v>
      </c>
    </row>
    <row r="546" customFormat="false" ht="15" hidden="false" customHeight="false" outlineLevel="0" collapsed="false">
      <c r="A546" s="0" t="s">
        <v>97</v>
      </c>
      <c r="B546" s="1" t="s">
        <v>18</v>
      </c>
      <c r="C546" s="1" t="s">
        <v>65</v>
      </c>
      <c r="D546" s="0" t="n">
        <v>5140</v>
      </c>
      <c r="E546" s="0" t="n">
        <v>14450</v>
      </c>
      <c r="F546" s="0" t="n">
        <f aca="false">D546*E546</f>
        <v>74273000</v>
      </c>
      <c r="G546" s="0" t="n">
        <f aca="false">INDEX(마스터!$E:$E,MATCH(C546,마스터!$A:$A,0))</f>
        <v>6670</v>
      </c>
      <c r="H546" s="0" t="n">
        <f aca="false">D546*G546</f>
        <v>34283800</v>
      </c>
    </row>
    <row r="547" customFormat="false" ht="15" hidden="false" customHeight="false" outlineLevel="0" collapsed="false">
      <c r="A547" s="0" t="s">
        <v>97</v>
      </c>
      <c r="B547" s="1" t="s">
        <v>18</v>
      </c>
      <c r="C547" s="1" t="s">
        <v>51</v>
      </c>
      <c r="D547" s="0" t="n">
        <v>7450</v>
      </c>
      <c r="E547" s="0" t="n">
        <v>14450</v>
      </c>
      <c r="F547" s="0" t="n">
        <f aca="false">D547*E547</f>
        <v>107652500</v>
      </c>
      <c r="G547" s="0" t="n">
        <f aca="false">INDEX(마스터!$E:$E,MATCH(C547,마스터!$A:$A,0))</f>
        <v>7480</v>
      </c>
      <c r="H547" s="0" t="n">
        <f aca="false">D547*G547</f>
        <v>55726000</v>
      </c>
    </row>
    <row r="548" customFormat="false" ht="15" hidden="false" customHeight="false" outlineLevel="0" collapsed="false">
      <c r="A548" s="0" t="s">
        <v>97</v>
      </c>
      <c r="B548" s="1" t="s">
        <v>19</v>
      </c>
      <c r="C548" s="1" t="s">
        <v>74</v>
      </c>
      <c r="D548" s="0" t="n">
        <v>3360</v>
      </c>
      <c r="E548" s="0" t="n">
        <v>11040</v>
      </c>
      <c r="F548" s="0" t="n">
        <f aca="false">D548*E548</f>
        <v>37094400</v>
      </c>
      <c r="G548" s="0" t="n">
        <f aca="false">INDEX(마스터!$E:$E,MATCH(C548,마스터!$A:$A,0))</f>
        <v>5400</v>
      </c>
      <c r="H548" s="0" t="n">
        <f aca="false">D548*G548</f>
        <v>18144000</v>
      </c>
    </row>
    <row r="549" customFormat="false" ht="15" hidden="false" customHeight="false" outlineLevel="0" collapsed="false">
      <c r="A549" s="0" t="s">
        <v>97</v>
      </c>
      <c r="B549" s="1" t="s">
        <v>19</v>
      </c>
      <c r="C549" s="1" t="s">
        <v>41</v>
      </c>
      <c r="D549" s="0" t="n">
        <v>8330</v>
      </c>
      <c r="E549" s="0" t="n">
        <v>11040</v>
      </c>
      <c r="F549" s="0" t="n">
        <f aca="false">D549*E549</f>
        <v>91963200</v>
      </c>
      <c r="G549" s="0" t="n">
        <f aca="false">INDEX(마스터!$E:$E,MATCH(C549,마스터!$A:$A,0))</f>
        <v>5480</v>
      </c>
      <c r="H549" s="0" t="n">
        <f aca="false">D549*G549</f>
        <v>45648400</v>
      </c>
    </row>
    <row r="550" customFormat="false" ht="15" hidden="false" customHeight="false" outlineLevel="0" collapsed="false">
      <c r="A550" s="0" t="s">
        <v>97</v>
      </c>
      <c r="B550" s="1" t="s">
        <v>19</v>
      </c>
      <c r="C550" s="1" t="s">
        <v>65</v>
      </c>
      <c r="D550" s="0" t="n">
        <v>3050</v>
      </c>
      <c r="E550" s="0" t="n">
        <v>13310</v>
      </c>
      <c r="F550" s="0" t="n">
        <f aca="false">D550*E550</f>
        <v>40595500</v>
      </c>
      <c r="G550" s="0" t="n">
        <f aca="false">INDEX(마스터!$E:$E,MATCH(C550,마스터!$A:$A,0))</f>
        <v>6670</v>
      </c>
      <c r="H550" s="0" t="n">
        <f aca="false">D550*G550</f>
        <v>20343500</v>
      </c>
    </row>
    <row r="551" customFormat="false" ht="15" hidden="false" customHeight="false" outlineLevel="0" collapsed="false">
      <c r="A551" s="0" t="s">
        <v>97</v>
      </c>
      <c r="B551" s="1" t="s">
        <v>19</v>
      </c>
      <c r="C551" s="1" t="s">
        <v>42</v>
      </c>
      <c r="D551" s="0" t="n">
        <v>4780</v>
      </c>
      <c r="E551" s="0" t="n">
        <v>12340</v>
      </c>
      <c r="F551" s="0" t="n">
        <f aca="false">D551*E551</f>
        <v>58985200</v>
      </c>
      <c r="G551" s="0" t="n">
        <f aca="false">INDEX(마스터!$E:$E,MATCH(C551,마스터!$A:$A,0))</f>
        <v>6730</v>
      </c>
      <c r="H551" s="0" t="n">
        <f aca="false">D551*G551</f>
        <v>32169400</v>
      </c>
    </row>
    <row r="552" customFormat="false" ht="15" hidden="false" customHeight="false" outlineLevel="0" collapsed="false">
      <c r="A552" s="0" t="s">
        <v>97</v>
      </c>
      <c r="B552" s="1" t="s">
        <v>19</v>
      </c>
      <c r="C552" s="1" t="s">
        <v>76</v>
      </c>
      <c r="D552" s="0" t="n">
        <v>4220</v>
      </c>
      <c r="E552" s="0" t="n">
        <v>8760</v>
      </c>
      <c r="F552" s="0" t="n">
        <f aca="false">D552*E552</f>
        <v>36967200</v>
      </c>
      <c r="G552" s="0" t="n">
        <f aca="false">INDEX(마스터!$E:$E,MATCH(C552,마스터!$A:$A,0))</f>
        <v>4150</v>
      </c>
      <c r="H552" s="0" t="n">
        <f aca="false">D552*G552</f>
        <v>17513000</v>
      </c>
    </row>
    <row r="553" customFormat="false" ht="15" hidden="false" customHeight="false" outlineLevel="0" collapsed="false">
      <c r="A553" s="0" t="s">
        <v>97</v>
      </c>
      <c r="B553" s="1" t="s">
        <v>20</v>
      </c>
      <c r="C553" s="1" t="s">
        <v>38</v>
      </c>
      <c r="D553" s="0" t="n">
        <v>4050</v>
      </c>
      <c r="E553" s="0" t="n">
        <v>12400</v>
      </c>
      <c r="F553" s="0" t="n">
        <f aca="false">D553*E553</f>
        <v>50220000</v>
      </c>
      <c r="G553" s="0" t="n">
        <f aca="false">INDEX(마스터!$E:$E,MATCH(C553,마스터!$A:$A,0))</f>
        <v>5670</v>
      </c>
      <c r="H553" s="0" t="n">
        <f aca="false">D553*G553</f>
        <v>22963500</v>
      </c>
    </row>
    <row r="554" customFormat="false" ht="15" hidden="false" customHeight="false" outlineLevel="0" collapsed="false">
      <c r="A554" s="0" t="s">
        <v>97</v>
      </c>
      <c r="B554" s="1" t="s">
        <v>20</v>
      </c>
      <c r="C554" s="1" t="s">
        <v>64</v>
      </c>
      <c r="D554" s="0" t="n">
        <v>3390</v>
      </c>
      <c r="E554" s="0" t="n">
        <v>12760</v>
      </c>
      <c r="F554" s="0" t="n">
        <f aca="false">D554*E554</f>
        <v>43256400</v>
      </c>
      <c r="G554" s="0" t="n">
        <f aca="false">INDEX(마스터!$E:$E,MATCH(C554,마스터!$A:$A,0))</f>
        <v>5890</v>
      </c>
      <c r="H554" s="0" t="n">
        <f aca="false">D554*G554</f>
        <v>19967100</v>
      </c>
    </row>
    <row r="555" customFormat="false" ht="15" hidden="false" customHeight="false" outlineLevel="0" collapsed="false">
      <c r="A555" s="0" t="s">
        <v>97</v>
      </c>
      <c r="B555" s="1" t="s">
        <v>20</v>
      </c>
      <c r="C555" s="1" t="s">
        <v>34</v>
      </c>
      <c r="D555" s="0" t="n">
        <v>3810</v>
      </c>
      <c r="E555" s="0" t="n">
        <v>13110</v>
      </c>
      <c r="F555" s="0" t="n">
        <f aca="false">D555*E555</f>
        <v>49949100</v>
      </c>
      <c r="G555" s="0" t="n">
        <f aca="false">INDEX(마스터!$E:$E,MATCH(C555,마스터!$A:$A,0))</f>
        <v>6630</v>
      </c>
      <c r="H555" s="0" t="n">
        <f aca="false">D555*G555</f>
        <v>25260300</v>
      </c>
    </row>
    <row r="556" customFormat="false" ht="15" hidden="false" customHeight="false" outlineLevel="0" collapsed="false">
      <c r="A556" s="0" t="s">
        <v>97</v>
      </c>
      <c r="B556" s="1" t="s">
        <v>20</v>
      </c>
      <c r="C556" s="1" t="s">
        <v>51</v>
      </c>
      <c r="D556" s="0" t="n">
        <v>3400</v>
      </c>
      <c r="E556" s="0" t="n">
        <v>14530</v>
      </c>
      <c r="F556" s="0" t="n">
        <f aca="false">D556*E556</f>
        <v>49402000</v>
      </c>
      <c r="G556" s="0" t="n">
        <f aca="false">INDEX(마스터!$E:$E,MATCH(C556,마스터!$A:$A,0))</f>
        <v>7480</v>
      </c>
      <c r="H556" s="0" t="n">
        <f aca="false">D556*G556</f>
        <v>25432000</v>
      </c>
    </row>
    <row r="557" customFormat="false" ht="15" hidden="false" customHeight="false" outlineLevel="0" collapsed="false">
      <c r="A557" s="0" t="s">
        <v>97</v>
      </c>
      <c r="B557" s="1" t="s">
        <v>21</v>
      </c>
      <c r="C557" s="1" t="s">
        <v>56</v>
      </c>
      <c r="D557" s="0" t="n">
        <v>4230</v>
      </c>
      <c r="E557" s="0" t="n">
        <v>10860</v>
      </c>
      <c r="F557" s="0" t="n">
        <f aca="false">D557*E557</f>
        <v>45937800</v>
      </c>
      <c r="G557" s="0" t="n">
        <f aca="false">INDEX(마스터!$E:$E,MATCH(C557,마스터!$A:$A,0))</f>
        <v>5470</v>
      </c>
      <c r="H557" s="0" t="n">
        <f aca="false">D557*G557</f>
        <v>23138100</v>
      </c>
    </row>
    <row r="558" customFormat="false" ht="15" hidden="false" customHeight="false" outlineLevel="0" collapsed="false">
      <c r="A558" s="0" t="s">
        <v>97</v>
      </c>
      <c r="B558" s="1" t="s">
        <v>21</v>
      </c>
      <c r="C558" s="1" t="s">
        <v>72</v>
      </c>
      <c r="D558" s="0" t="n">
        <v>5550</v>
      </c>
      <c r="E558" s="0" t="n">
        <v>12260</v>
      </c>
      <c r="F558" s="0" t="n">
        <f aca="false">D558*E558</f>
        <v>68043000</v>
      </c>
      <c r="G558" s="0" t="n">
        <f aca="false">INDEX(마스터!$E:$E,MATCH(C558,마스터!$A:$A,0))</f>
        <v>5920</v>
      </c>
      <c r="H558" s="0" t="n">
        <f aca="false">D558*G558</f>
        <v>32856000</v>
      </c>
    </row>
    <row r="559" customFormat="false" ht="15" hidden="false" customHeight="false" outlineLevel="0" collapsed="false">
      <c r="A559" s="0" t="s">
        <v>97</v>
      </c>
      <c r="B559" s="1" t="s">
        <v>21</v>
      </c>
      <c r="C559" s="1" t="s">
        <v>57</v>
      </c>
      <c r="D559" s="0" t="n">
        <v>4350</v>
      </c>
      <c r="E559" s="0" t="n">
        <v>10510</v>
      </c>
      <c r="F559" s="0" t="n">
        <f aca="false">D559*E559</f>
        <v>45718500</v>
      </c>
      <c r="G559" s="0" t="n">
        <f aca="false">INDEX(마스터!$E:$E,MATCH(C559,마스터!$A:$A,0))</f>
        <v>4870</v>
      </c>
      <c r="H559" s="0" t="n">
        <f aca="false">D559*G559</f>
        <v>21184500</v>
      </c>
    </row>
    <row r="560" customFormat="false" ht="15" hidden="false" customHeight="false" outlineLevel="0" collapsed="false">
      <c r="A560" s="0" t="s">
        <v>97</v>
      </c>
      <c r="B560" s="1" t="s">
        <v>22</v>
      </c>
      <c r="C560" s="1" t="s">
        <v>77</v>
      </c>
      <c r="D560" s="0" t="n">
        <v>7050</v>
      </c>
      <c r="E560" s="0" t="n">
        <v>11950</v>
      </c>
      <c r="F560" s="0" t="n">
        <f aca="false">D560*E560</f>
        <v>84247500</v>
      </c>
      <c r="G560" s="0" t="n">
        <f aca="false">INDEX(마스터!$E:$E,MATCH(C560,마스터!$A:$A,0))</f>
        <v>5380</v>
      </c>
      <c r="H560" s="0" t="n">
        <f aca="false">D560*G560</f>
        <v>37929000</v>
      </c>
    </row>
    <row r="561" customFormat="false" ht="15" hidden="false" customHeight="false" outlineLevel="0" collapsed="false">
      <c r="A561" s="0" t="s">
        <v>97</v>
      </c>
      <c r="B561" s="1" t="s">
        <v>22</v>
      </c>
      <c r="C561" s="1" t="s">
        <v>43</v>
      </c>
      <c r="D561" s="0" t="n">
        <v>4670</v>
      </c>
      <c r="E561" s="0" t="n">
        <v>12650</v>
      </c>
      <c r="F561" s="0" t="n">
        <f aca="false">D561*E561</f>
        <v>59075500</v>
      </c>
      <c r="G561" s="0" t="n">
        <f aca="false">INDEX(마스터!$E:$E,MATCH(C561,마스터!$A:$A,0))</f>
        <v>6350</v>
      </c>
      <c r="H561" s="0" t="n">
        <f aca="false">D561*G561</f>
        <v>29654500</v>
      </c>
    </row>
    <row r="562" customFormat="false" ht="15" hidden="false" customHeight="false" outlineLevel="0" collapsed="false">
      <c r="A562" s="0" t="s">
        <v>97</v>
      </c>
      <c r="B562" s="1" t="s">
        <v>23</v>
      </c>
      <c r="C562" s="1" t="s">
        <v>86</v>
      </c>
      <c r="D562" s="0" t="n">
        <v>4860</v>
      </c>
      <c r="E562" s="0" t="n">
        <v>12890</v>
      </c>
      <c r="F562" s="0" t="n">
        <f aca="false">D562*E562</f>
        <v>62645400</v>
      </c>
      <c r="G562" s="0" t="n">
        <f aca="false">INDEX(마스터!$E:$E,MATCH(C562,마스터!$A:$A,0))</f>
        <v>6430</v>
      </c>
      <c r="H562" s="0" t="n">
        <f aca="false">D562*G562</f>
        <v>31249800</v>
      </c>
    </row>
    <row r="563" customFormat="false" ht="15" hidden="false" customHeight="false" outlineLevel="0" collapsed="false">
      <c r="A563" s="0" t="s">
        <v>97</v>
      </c>
      <c r="B563" s="1" t="s">
        <v>23</v>
      </c>
      <c r="C563" s="1" t="s">
        <v>65</v>
      </c>
      <c r="D563" s="0" t="n">
        <v>5530</v>
      </c>
      <c r="E563" s="0" t="n">
        <v>14280</v>
      </c>
      <c r="F563" s="0" t="n">
        <f aca="false">D563*E563</f>
        <v>78968400</v>
      </c>
      <c r="G563" s="0" t="n">
        <f aca="false">INDEX(마스터!$E:$E,MATCH(C563,마스터!$A:$A,0))</f>
        <v>6670</v>
      </c>
      <c r="H563" s="0" t="n">
        <f aca="false">D563*G563</f>
        <v>36885100</v>
      </c>
    </row>
    <row r="564" customFormat="false" ht="15" hidden="false" customHeight="false" outlineLevel="0" collapsed="false">
      <c r="A564" s="0" t="s">
        <v>97</v>
      </c>
      <c r="B564" s="1" t="s">
        <v>25</v>
      </c>
      <c r="C564" s="1" t="s">
        <v>77</v>
      </c>
      <c r="D564" s="0" t="n">
        <v>4050</v>
      </c>
      <c r="E564" s="0" t="n">
        <v>11920</v>
      </c>
      <c r="F564" s="0" t="n">
        <f aca="false">D564*E564</f>
        <v>48276000</v>
      </c>
      <c r="G564" s="0" t="n">
        <f aca="false">INDEX(마스터!$E:$E,MATCH(C564,마스터!$A:$A,0))</f>
        <v>5380</v>
      </c>
      <c r="H564" s="0" t="n">
        <f aca="false">D564*G564</f>
        <v>21789000</v>
      </c>
    </row>
    <row r="565" customFormat="false" ht="15" hidden="false" customHeight="false" outlineLevel="0" collapsed="false">
      <c r="A565" s="0" t="s">
        <v>97</v>
      </c>
      <c r="B565" s="1" t="s">
        <v>25</v>
      </c>
      <c r="C565" s="1" t="s">
        <v>60</v>
      </c>
      <c r="D565" s="0" t="n">
        <v>4480</v>
      </c>
      <c r="E565" s="0" t="n">
        <v>13670</v>
      </c>
      <c r="F565" s="0" t="n">
        <f aca="false">D565*E565</f>
        <v>61241600</v>
      </c>
      <c r="G565" s="0" t="n">
        <f aca="false">INDEX(마스터!$E:$E,MATCH(C565,마스터!$A:$A,0))</f>
        <v>6980</v>
      </c>
      <c r="H565" s="0" t="n">
        <f aca="false">D565*G565</f>
        <v>31270400</v>
      </c>
    </row>
    <row r="566" customFormat="false" ht="15" hidden="false" customHeight="false" outlineLevel="0" collapsed="false">
      <c r="A566" s="0" t="s">
        <v>97</v>
      </c>
      <c r="B566" s="1" t="s">
        <v>24</v>
      </c>
      <c r="C566" s="1" t="s">
        <v>41</v>
      </c>
      <c r="D566" s="0" t="n">
        <v>4680</v>
      </c>
      <c r="E566" s="0" t="n">
        <v>11930</v>
      </c>
      <c r="F566" s="0" t="n">
        <f aca="false">D566*E566</f>
        <v>55832400</v>
      </c>
      <c r="G566" s="0" t="n">
        <f aca="false">INDEX(마스터!$E:$E,MATCH(C566,마스터!$A:$A,0))</f>
        <v>5480</v>
      </c>
      <c r="H566" s="0" t="n">
        <f aca="false">D566*G566</f>
        <v>25646400</v>
      </c>
    </row>
    <row r="567" customFormat="false" ht="15" hidden="false" customHeight="false" outlineLevel="0" collapsed="false">
      <c r="A567" s="0" t="s">
        <v>97</v>
      </c>
      <c r="B567" s="1" t="s">
        <v>24</v>
      </c>
      <c r="C567" s="1" t="s">
        <v>59</v>
      </c>
      <c r="D567" s="0" t="n">
        <v>4350</v>
      </c>
      <c r="E567" s="0" t="n">
        <v>14030</v>
      </c>
      <c r="F567" s="0" t="n">
        <f aca="false">D567*E567</f>
        <v>61030500</v>
      </c>
      <c r="G567" s="0" t="n">
        <f aca="false">INDEX(마스터!$E:$E,MATCH(C567,마스터!$A:$A,0))</f>
        <v>6520</v>
      </c>
      <c r="H567" s="0" t="n">
        <f aca="false">D567*G567</f>
        <v>28362000</v>
      </c>
    </row>
    <row r="568" customFormat="false" ht="15" hidden="false" customHeight="false" outlineLevel="0" collapsed="false">
      <c r="A568" s="0" t="s">
        <v>98</v>
      </c>
      <c r="B568" s="1" t="s">
        <v>14</v>
      </c>
      <c r="C568" s="1" t="s">
        <v>41</v>
      </c>
      <c r="D568" s="0" t="n">
        <v>16850</v>
      </c>
      <c r="E568" s="0" t="n">
        <v>10960</v>
      </c>
      <c r="F568" s="0" t="n">
        <f aca="false">D568*E568</f>
        <v>184676000</v>
      </c>
      <c r="G568" s="0" t="n">
        <f aca="false">INDEX(마스터!$E:$E,MATCH(C568,마스터!$A:$A,0))</f>
        <v>5480</v>
      </c>
      <c r="H568" s="0" t="n">
        <f aca="false">D568*G568</f>
        <v>92338000</v>
      </c>
    </row>
    <row r="569" customFormat="false" ht="15" hidden="false" customHeight="false" outlineLevel="0" collapsed="false">
      <c r="A569" s="0" t="s">
        <v>98</v>
      </c>
      <c r="B569" s="1" t="s">
        <v>14</v>
      </c>
      <c r="C569" s="1" t="s">
        <v>60</v>
      </c>
      <c r="D569" s="0" t="n">
        <v>7050</v>
      </c>
      <c r="E569" s="0" t="n">
        <v>12570</v>
      </c>
      <c r="F569" s="0" t="n">
        <f aca="false">D569*E569</f>
        <v>88618500</v>
      </c>
      <c r="G569" s="0" t="n">
        <f aca="false">INDEX(마스터!$E:$E,MATCH(C569,마스터!$A:$A,0))</f>
        <v>6980</v>
      </c>
      <c r="H569" s="0" t="n">
        <f aca="false">D569*G569</f>
        <v>49209000</v>
      </c>
    </row>
    <row r="570" customFormat="false" ht="15" hidden="false" customHeight="false" outlineLevel="0" collapsed="false">
      <c r="A570" s="0" t="s">
        <v>98</v>
      </c>
      <c r="B570" s="1" t="s">
        <v>14</v>
      </c>
      <c r="C570" s="1" t="s">
        <v>64</v>
      </c>
      <c r="D570" s="0" t="n">
        <v>6200</v>
      </c>
      <c r="E570" s="0" t="n">
        <v>11600</v>
      </c>
      <c r="F570" s="0" t="n">
        <f aca="false">D570*E570</f>
        <v>71920000</v>
      </c>
      <c r="G570" s="0" t="n">
        <f aca="false">INDEX(마스터!$E:$E,MATCH(C570,마스터!$A:$A,0))</f>
        <v>5890</v>
      </c>
      <c r="H570" s="0" t="n">
        <f aca="false">D570*G570</f>
        <v>36518000</v>
      </c>
    </row>
    <row r="571" customFormat="false" ht="15" hidden="false" customHeight="false" outlineLevel="0" collapsed="false">
      <c r="A571" s="0" t="s">
        <v>98</v>
      </c>
      <c r="B571" s="1" t="s">
        <v>14</v>
      </c>
      <c r="C571" s="1" t="s">
        <v>66</v>
      </c>
      <c r="D571" s="0" t="n">
        <v>3140</v>
      </c>
      <c r="E571" s="0" t="n">
        <v>11920</v>
      </c>
      <c r="F571" s="0" t="n">
        <f aca="false">D571*E571</f>
        <v>37428800</v>
      </c>
      <c r="G571" s="0" t="n">
        <f aca="false">INDEX(마스터!$E:$E,MATCH(C571,마스터!$A:$A,0))</f>
        <v>6360</v>
      </c>
      <c r="H571" s="0" t="n">
        <f aca="false">D571*G571</f>
        <v>19970400</v>
      </c>
    </row>
    <row r="572" customFormat="false" ht="15" hidden="false" customHeight="false" outlineLevel="0" collapsed="false">
      <c r="A572" s="0" t="s">
        <v>98</v>
      </c>
      <c r="B572" s="1" t="s">
        <v>14</v>
      </c>
      <c r="C572" s="1" t="s">
        <v>44</v>
      </c>
      <c r="D572" s="0" t="n">
        <v>6320</v>
      </c>
      <c r="E572" s="0" t="n">
        <v>10960</v>
      </c>
      <c r="F572" s="0" t="n">
        <f aca="false">D572*E572</f>
        <v>69267200</v>
      </c>
      <c r="G572" s="0" t="n">
        <f aca="false">INDEX(마스터!$E:$E,MATCH(C572,마스터!$A:$A,0))</f>
        <v>5500</v>
      </c>
      <c r="H572" s="0" t="n">
        <f aca="false">D572*G572</f>
        <v>34760000</v>
      </c>
    </row>
    <row r="573" customFormat="false" ht="15" hidden="false" customHeight="false" outlineLevel="0" collapsed="false">
      <c r="A573" s="0" t="s">
        <v>98</v>
      </c>
      <c r="B573" s="1" t="s">
        <v>14</v>
      </c>
      <c r="C573" s="1" t="s">
        <v>35</v>
      </c>
      <c r="D573" s="0" t="n">
        <v>4470</v>
      </c>
      <c r="E573" s="0" t="n">
        <v>9670</v>
      </c>
      <c r="F573" s="0" t="n">
        <f aca="false">D573*E573</f>
        <v>43224900</v>
      </c>
      <c r="G573" s="0" t="n">
        <f aca="false">INDEX(마스터!$E:$E,MATCH(C573,마스터!$A:$A,0))</f>
        <v>4920</v>
      </c>
      <c r="H573" s="0" t="n">
        <f aca="false">D573*G573</f>
        <v>21992400</v>
      </c>
    </row>
    <row r="574" customFormat="false" ht="15" hidden="false" customHeight="false" outlineLevel="0" collapsed="false">
      <c r="A574" s="0" t="s">
        <v>98</v>
      </c>
      <c r="B574" s="1" t="s">
        <v>15</v>
      </c>
      <c r="C574" s="1" t="s">
        <v>41</v>
      </c>
      <c r="D574" s="0" t="n">
        <v>11580</v>
      </c>
      <c r="E574" s="0" t="n">
        <v>11060</v>
      </c>
      <c r="F574" s="0" t="n">
        <f aca="false">D574*E574</f>
        <v>128074800</v>
      </c>
      <c r="G574" s="0" t="n">
        <f aca="false">INDEX(마스터!$E:$E,MATCH(C574,마스터!$A:$A,0))</f>
        <v>5480</v>
      </c>
      <c r="H574" s="0" t="n">
        <f aca="false">D574*G574</f>
        <v>63458400</v>
      </c>
    </row>
    <row r="575" customFormat="false" ht="15" hidden="false" customHeight="false" outlineLevel="0" collapsed="false">
      <c r="A575" s="0" t="s">
        <v>98</v>
      </c>
      <c r="B575" s="1" t="s">
        <v>15</v>
      </c>
      <c r="C575" s="1" t="s">
        <v>54</v>
      </c>
      <c r="D575" s="0" t="n">
        <v>4610</v>
      </c>
      <c r="E575" s="0" t="n">
        <v>12360</v>
      </c>
      <c r="F575" s="0" t="n">
        <f aca="false">D575*E575</f>
        <v>56979600</v>
      </c>
      <c r="G575" s="0" t="n">
        <f aca="false">INDEX(마스터!$E:$E,MATCH(C575,마스터!$A:$A,0))</f>
        <v>6790</v>
      </c>
      <c r="H575" s="0" t="n">
        <f aca="false">D575*G575</f>
        <v>31301900</v>
      </c>
    </row>
    <row r="576" customFormat="false" ht="15" hidden="false" customHeight="false" outlineLevel="0" collapsed="false">
      <c r="A576" s="0" t="s">
        <v>98</v>
      </c>
      <c r="B576" s="1" t="s">
        <v>15</v>
      </c>
      <c r="C576" s="1" t="s">
        <v>65</v>
      </c>
      <c r="D576" s="0" t="n">
        <v>4430</v>
      </c>
      <c r="E576" s="0" t="n">
        <v>13330</v>
      </c>
      <c r="F576" s="0" t="n">
        <f aca="false">D576*E576</f>
        <v>59051900</v>
      </c>
      <c r="G576" s="0" t="n">
        <f aca="false">INDEX(마스터!$E:$E,MATCH(C576,마스터!$A:$A,0))</f>
        <v>6670</v>
      </c>
      <c r="H576" s="0" t="n">
        <f aca="false">D576*G576</f>
        <v>29548100</v>
      </c>
    </row>
    <row r="577" customFormat="false" ht="15" hidden="false" customHeight="false" outlineLevel="0" collapsed="false">
      <c r="A577" s="0" t="s">
        <v>98</v>
      </c>
      <c r="B577" s="1" t="s">
        <v>15</v>
      </c>
      <c r="C577" s="1" t="s">
        <v>48</v>
      </c>
      <c r="D577" s="0" t="n">
        <v>6130</v>
      </c>
      <c r="E577" s="0" t="n">
        <v>12030</v>
      </c>
      <c r="F577" s="0" t="n">
        <f aca="false">D577*E577</f>
        <v>73743900</v>
      </c>
      <c r="G577" s="0" t="n">
        <f aca="false">INDEX(마스터!$E:$E,MATCH(C577,마스터!$A:$A,0))</f>
        <v>6440</v>
      </c>
      <c r="H577" s="0" t="n">
        <f aca="false">D577*G577</f>
        <v>39477200</v>
      </c>
    </row>
    <row r="578" customFormat="false" ht="15" hidden="false" customHeight="false" outlineLevel="0" collapsed="false">
      <c r="A578" s="0" t="s">
        <v>98</v>
      </c>
      <c r="B578" s="1" t="s">
        <v>15</v>
      </c>
      <c r="C578" s="1" t="s">
        <v>51</v>
      </c>
      <c r="D578" s="0" t="n">
        <v>7070</v>
      </c>
      <c r="E578" s="0" t="n">
        <v>13330</v>
      </c>
      <c r="F578" s="0" t="n">
        <f aca="false">D578*E578</f>
        <v>94243100</v>
      </c>
      <c r="G578" s="0" t="n">
        <f aca="false">INDEX(마스터!$E:$E,MATCH(C578,마스터!$A:$A,0))</f>
        <v>7480</v>
      </c>
      <c r="H578" s="0" t="n">
        <f aca="false">D578*G578</f>
        <v>52883600</v>
      </c>
    </row>
    <row r="579" customFormat="false" ht="15" hidden="false" customHeight="false" outlineLevel="0" collapsed="false">
      <c r="A579" s="0" t="s">
        <v>98</v>
      </c>
      <c r="B579" s="1" t="s">
        <v>15</v>
      </c>
      <c r="C579" s="1" t="s">
        <v>66</v>
      </c>
      <c r="D579" s="0" t="n">
        <v>2200</v>
      </c>
      <c r="E579" s="0" t="n">
        <v>12030</v>
      </c>
      <c r="F579" s="0" t="n">
        <f aca="false">D579*E579</f>
        <v>26466000</v>
      </c>
      <c r="G579" s="0" t="n">
        <f aca="false">INDEX(마스터!$E:$E,MATCH(C579,마스터!$A:$A,0))</f>
        <v>6360</v>
      </c>
      <c r="H579" s="0" t="n">
        <f aca="false">D579*G579</f>
        <v>13992000</v>
      </c>
    </row>
    <row r="580" customFormat="false" ht="15" hidden="false" customHeight="false" outlineLevel="0" collapsed="false">
      <c r="A580" s="0" t="s">
        <v>98</v>
      </c>
      <c r="B580" s="1" t="s">
        <v>15</v>
      </c>
      <c r="C580" s="1" t="s">
        <v>35</v>
      </c>
      <c r="D580" s="0" t="n">
        <v>4120</v>
      </c>
      <c r="E580" s="0" t="n">
        <v>9760</v>
      </c>
      <c r="F580" s="0" t="n">
        <f aca="false">D580*E580</f>
        <v>40211200</v>
      </c>
      <c r="G580" s="0" t="n">
        <f aca="false">INDEX(마스터!$E:$E,MATCH(C580,마스터!$A:$A,0))</f>
        <v>4920</v>
      </c>
      <c r="H580" s="0" t="n">
        <f aca="false">D580*G580</f>
        <v>20270400</v>
      </c>
    </row>
    <row r="581" customFormat="false" ht="15" hidden="false" customHeight="false" outlineLevel="0" collapsed="false">
      <c r="A581" s="0" t="s">
        <v>98</v>
      </c>
      <c r="B581" s="1" t="s">
        <v>16</v>
      </c>
      <c r="C581" s="1" t="s">
        <v>38</v>
      </c>
      <c r="D581" s="0" t="n">
        <v>7860</v>
      </c>
      <c r="E581" s="0" t="n">
        <v>12360</v>
      </c>
      <c r="F581" s="0" t="n">
        <f aca="false">D581*E581</f>
        <v>97149600</v>
      </c>
      <c r="G581" s="0" t="n">
        <f aca="false">INDEX(마스터!$E:$E,MATCH(C581,마스터!$A:$A,0))</f>
        <v>5670</v>
      </c>
      <c r="H581" s="0" t="n">
        <f aca="false">D581*G581</f>
        <v>44566200</v>
      </c>
    </row>
    <row r="582" customFormat="false" ht="15" hidden="false" customHeight="false" outlineLevel="0" collapsed="false">
      <c r="A582" s="0" t="s">
        <v>98</v>
      </c>
      <c r="B582" s="1" t="s">
        <v>16</v>
      </c>
      <c r="C582" s="1" t="s">
        <v>41</v>
      </c>
      <c r="D582" s="0" t="n">
        <v>7320</v>
      </c>
      <c r="E582" s="0" t="n">
        <v>12010</v>
      </c>
      <c r="F582" s="0" t="n">
        <f aca="false">D582*E582</f>
        <v>87913200</v>
      </c>
      <c r="G582" s="0" t="n">
        <f aca="false">INDEX(마스터!$E:$E,MATCH(C582,마스터!$A:$A,0))</f>
        <v>5480</v>
      </c>
      <c r="H582" s="0" t="n">
        <f aca="false">D582*G582</f>
        <v>40113600</v>
      </c>
    </row>
    <row r="583" customFormat="false" ht="15" hidden="false" customHeight="false" outlineLevel="0" collapsed="false">
      <c r="A583" s="0" t="s">
        <v>98</v>
      </c>
      <c r="B583" s="1" t="s">
        <v>16</v>
      </c>
      <c r="C583" s="1" t="s">
        <v>63</v>
      </c>
      <c r="D583" s="0" t="n">
        <v>6250</v>
      </c>
      <c r="E583" s="0" t="n">
        <v>11650</v>
      </c>
      <c r="F583" s="0" t="n">
        <f aca="false">D583*E583</f>
        <v>72812500</v>
      </c>
      <c r="G583" s="0" t="n">
        <f aca="false">INDEX(마스터!$E:$E,MATCH(C583,마스터!$A:$A,0))</f>
        <v>5290</v>
      </c>
      <c r="H583" s="0" t="n">
        <f aca="false">D583*G583</f>
        <v>33062500</v>
      </c>
    </row>
    <row r="584" customFormat="false" ht="15" hidden="false" customHeight="false" outlineLevel="0" collapsed="false">
      <c r="A584" s="0" t="s">
        <v>98</v>
      </c>
      <c r="B584" s="1" t="s">
        <v>16</v>
      </c>
      <c r="C584" s="1" t="s">
        <v>66</v>
      </c>
      <c r="D584" s="0" t="n">
        <v>3240</v>
      </c>
      <c r="E584" s="0" t="n">
        <v>13070</v>
      </c>
      <c r="F584" s="0" t="n">
        <f aca="false">D584*E584</f>
        <v>42346800</v>
      </c>
      <c r="G584" s="0" t="n">
        <f aca="false">INDEX(마스터!$E:$E,MATCH(C584,마스터!$A:$A,0))</f>
        <v>6360</v>
      </c>
      <c r="H584" s="0" t="n">
        <f aca="false">D584*G584</f>
        <v>20606400</v>
      </c>
    </row>
    <row r="585" customFormat="false" ht="15" hidden="false" customHeight="false" outlineLevel="0" collapsed="false">
      <c r="A585" s="0" t="s">
        <v>98</v>
      </c>
      <c r="B585" s="1" t="s">
        <v>16</v>
      </c>
      <c r="C585" s="1" t="s">
        <v>88</v>
      </c>
      <c r="D585" s="0" t="n">
        <v>4010</v>
      </c>
      <c r="E585" s="0" t="n">
        <v>12010</v>
      </c>
      <c r="F585" s="0" t="n">
        <f aca="false">D585*E585</f>
        <v>48160100</v>
      </c>
      <c r="G585" s="0" t="n">
        <f aca="false">INDEX(마스터!$E:$E,MATCH(C585,마스터!$A:$A,0))</f>
        <v>5930</v>
      </c>
      <c r="H585" s="0" t="n">
        <f aca="false">D585*G585</f>
        <v>23779300</v>
      </c>
    </row>
    <row r="586" customFormat="false" ht="15" hidden="false" customHeight="false" outlineLevel="0" collapsed="false">
      <c r="A586" s="0" t="s">
        <v>98</v>
      </c>
      <c r="B586" s="1" t="s">
        <v>17</v>
      </c>
      <c r="C586" s="1" t="s">
        <v>99</v>
      </c>
      <c r="D586" s="0" t="n">
        <v>3330</v>
      </c>
      <c r="E586" s="0" t="n">
        <v>11290</v>
      </c>
      <c r="F586" s="0" t="n">
        <f aca="false">D586*E586</f>
        <v>37595700</v>
      </c>
      <c r="G586" s="0" t="n">
        <f aca="false">INDEX(마스터!$E:$E,MATCH(C586,마스터!$A:$A,0))</f>
        <v>5750</v>
      </c>
      <c r="H586" s="0" t="n">
        <f aca="false">D586*G586</f>
        <v>19147500</v>
      </c>
    </row>
    <row r="587" customFormat="false" ht="15" hidden="false" customHeight="false" outlineLevel="0" collapsed="false">
      <c r="A587" s="0" t="s">
        <v>98</v>
      </c>
      <c r="B587" s="1" t="s">
        <v>17</v>
      </c>
      <c r="C587" s="1" t="s">
        <v>38</v>
      </c>
      <c r="D587" s="0" t="n">
        <v>4020</v>
      </c>
      <c r="E587" s="0" t="n">
        <v>11290</v>
      </c>
      <c r="F587" s="0" t="n">
        <f aca="false">D587*E587</f>
        <v>45385800</v>
      </c>
      <c r="G587" s="0" t="n">
        <f aca="false">INDEX(마스터!$E:$E,MATCH(C587,마스터!$A:$A,0))</f>
        <v>5670</v>
      </c>
      <c r="H587" s="0" t="n">
        <f aca="false">D587*G587</f>
        <v>22793400</v>
      </c>
    </row>
    <row r="588" customFormat="false" ht="15" hidden="false" customHeight="false" outlineLevel="0" collapsed="false">
      <c r="A588" s="0" t="s">
        <v>98</v>
      </c>
      <c r="B588" s="1" t="s">
        <v>17</v>
      </c>
      <c r="C588" s="1" t="s">
        <v>41</v>
      </c>
      <c r="D588" s="0" t="n">
        <v>7170</v>
      </c>
      <c r="E588" s="0" t="n">
        <v>10960</v>
      </c>
      <c r="F588" s="0" t="n">
        <f aca="false">D588*E588</f>
        <v>78583200</v>
      </c>
      <c r="G588" s="0" t="n">
        <f aca="false">INDEX(마스터!$E:$E,MATCH(C588,마스터!$A:$A,0))</f>
        <v>5480</v>
      </c>
      <c r="H588" s="0" t="n">
        <f aca="false">D588*G588</f>
        <v>39291600</v>
      </c>
    </row>
    <row r="589" customFormat="false" ht="15" hidden="false" customHeight="false" outlineLevel="0" collapsed="false">
      <c r="A589" s="0" t="s">
        <v>98</v>
      </c>
      <c r="B589" s="1" t="s">
        <v>17</v>
      </c>
      <c r="C589" s="1" t="s">
        <v>33</v>
      </c>
      <c r="D589" s="0" t="n">
        <v>4330</v>
      </c>
      <c r="E589" s="0" t="n">
        <v>12250</v>
      </c>
      <c r="F589" s="0" t="n">
        <f aca="false">D589*E589</f>
        <v>53042500</v>
      </c>
      <c r="G589" s="0" t="n">
        <f aca="false">INDEX(마스터!$E:$E,MATCH(C589,마스터!$A:$A,0))</f>
        <v>6790</v>
      </c>
      <c r="H589" s="0" t="n">
        <f aca="false">D589*G589</f>
        <v>29400700</v>
      </c>
    </row>
    <row r="590" customFormat="false" ht="15" hidden="false" customHeight="false" outlineLevel="0" collapsed="false">
      <c r="A590" s="0" t="s">
        <v>98</v>
      </c>
      <c r="B590" s="1" t="s">
        <v>17</v>
      </c>
      <c r="C590" s="1" t="s">
        <v>46</v>
      </c>
      <c r="D590" s="0" t="n">
        <v>4040</v>
      </c>
      <c r="E590" s="0" t="n">
        <v>13220</v>
      </c>
      <c r="F590" s="0" t="n">
        <f aca="false">D590*E590</f>
        <v>53408800</v>
      </c>
      <c r="G590" s="0" t="n">
        <f aca="false">INDEX(마스터!$E:$E,MATCH(C590,마스터!$A:$A,0))</f>
        <v>6910</v>
      </c>
      <c r="H590" s="0" t="n">
        <f aca="false">D590*G590</f>
        <v>27916400</v>
      </c>
    </row>
    <row r="591" customFormat="false" ht="15" hidden="false" customHeight="false" outlineLevel="0" collapsed="false">
      <c r="A591" s="0" t="s">
        <v>98</v>
      </c>
      <c r="B591" s="1" t="s">
        <v>17</v>
      </c>
      <c r="C591" s="1" t="s">
        <v>66</v>
      </c>
      <c r="D591" s="0" t="n">
        <v>1920</v>
      </c>
      <c r="E591" s="0" t="n">
        <v>11930</v>
      </c>
      <c r="F591" s="0" t="n">
        <f aca="false">D591*E591</f>
        <v>22905600</v>
      </c>
      <c r="G591" s="0" t="n">
        <f aca="false">INDEX(마스터!$E:$E,MATCH(C591,마스터!$A:$A,0))</f>
        <v>6360</v>
      </c>
      <c r="H591" s="0" t="n">
        <f aca="false">D591*G591</f>
        <v>12211200</v>
      </c>
    </row>
    <row r="592" customFormat="false" ht="15" hidden="false" customHeight="false" outlineLevel="0" collapsed="false">
      <c r="A592" s="0" t="s">
        <v>98</v>
      </c>
      <c r="B592" s="1" t="s">
        <v>18</v>
      </c>
      <c r="C592" s="1" t="s">
        <v>38</v>
      </c>
      <c r="D592" s="0" t="n">
        <v>5830</v>
      </c>
      <c r="E592" s="0" t="n">
        <v>12280</v>
      </c>
      <c r="F592" s="0" t="n">
        <f aca="false">D592*E592</f>
        <v>71592400</v>
      </c>
      <c r="G592" s="0" t="n">
        <f aca="false">INDEX(마스터!$E:$E,MATCH(C592,마스터!$A:$A,0))</f>
        <v>5670</v>
      </c>
      <c r="H592" s="0" t="n">
        <f aca="false">D592*G592</f>
        <v>33056100</v>
      </c>
    </row>
    <row r="593" customFormat="false" ht="15" hidden="false" customHeight="false" outlineLevel="0" collapsed="false">
      <c r="A593" s="0" t="s">
        <v>98</v>
      </c>
      <c r="B593" s="1" t="s">
        <v>18</v>
      </c>
      <c r="C593" s="1" t="s">
        <v>58</v>
      </c>
      <c r="D593" s="0" t="n">
        <v>5580</v>
      </c>
      <c r="E593" s="0" t="n">
        <v>11930</v>
      </c>
      <c r="F593" s="0" t="n">
        <f aca="false">D593*E593</f>
        <v>66569400</v>
      </c>
      <c r="G593" s="0" t="n">
        <f aca="false">INDEX(마스터!$E:$E,MATCH(C593,마스터!$A:$A,0))</f>
        <v>5720</v>
      </c>
      <c r="H593" s="0" t="n">
        <f aca="false">D593*G593</f>
        <v>31917600</v>
      </c>
    </row>
    <row r="594" customFormat="false" ht="15" hidden="false" customHeight="false" outlineLevel="0" collapsed="false">
      <c r="A594" s="0" t="s">
        <v>98</v>
      </c>
      <c r="B594" s="1" t="s">
        <v>18</v>
      </c>
      <c r="C594" s="1" t="s">
        <v>42</v>
      </c>
      <c r="D594" s="0" t="n">
        <v>5850</v>
      </c>
      <c r="E594" s="0" t="n">
        <v>13330</v>
      </c>
      <c r="F594" s="0" t="n">
        <f aca="false">D594*E594</f>
        <v>77980500</v>
      </c>
      <c r="G594" s="0" t="n">
        <f aca="false">INDEX(마스터!$E:$E,MATCH(C594,마스터!$A:$A,0))</f>
        <v>6730</v>
      </c>
      <c r="H594" s="0" t="n">
        <f aca="false">D594*G594</f>
        <v>39370500</v>
      </c>
    </row>
    <row r="595" customFormat="false" ht="15" hidden="false" customHeight="false" outlineLevel="0" collapsed="false">
      <c r="A595" s="0" t="s">
        <v>98</v>
      </c>
      <c r="B595" s="1" t="s">
        <v>18</v>
      </c>
      <c r="C595" s="1" t="s">
        <v>36</v>
      </c>
      <c r="D595" s="0" t="n">
        <v>3560</v>
      </c>
      <c r="E595" s="0" t="n">
        <v>10170</v>
      </c>
      <c r="F595" s="0" t="n">
        <f aca="false">D595*E595</f>
        <v>36205200</v>
      </c>
      <c r="G595" s="0" t="n">
        <f aca="false">INDEX(마스터!$E:$E,MATCH(C595,마스터!$A:$A,0))</f>
        <v>4540</v>
      </c>
      <c r="H595" s="0" t="n">
        <f aca="false">D595*G595</f>
        <v>16162400</v>
      </c>
    </row>
    <row r="596" customFormat="false" ht="15" hidden="false" customHeight="false" outlineLevel="0" collapsed="false">
      <c r="A596" s="0" t="s">
        <v>98</v>
      </c>
      <c r="B596" s="1" t="s">
        <v>19</v>
      </c>
      <c r="C596" s="1" t="s">
        <v>74</v>
      </c>
      <c r="D596" s="0" t="n">
        <v>2380</v>
      </c>
      <c r="E596" s="0" t="n">
        <v>11020</v>
      </c>
      <c r="F596" s="0" t="n">
        <f aca="false">D596*E596</f>
        <v>26227600</v>
      </c>
      <c r="G596" s="0" t="n">
        <f aca="false">INDEX(마스터!$E:$E,MATCH(C596,마스터!$A:$A,0))</f>
        <v>5400</v>
      </c>
      <c r="H596" s="0" t="n">
        <f aca="false">D596*G596</f>
        <v>12852000</v>
      </c>
    </row>
    <row r="597" customFormat="false" ht="15" hidden="false" customHeight="false" outlineLevel="0" collapsed="false">
      <c r="A597" s="0" t="s">
        <v>98</v>
      </c>
      <c r="B597" s="1" t="s">
        <v>19</v>
      </c>
      <c r="C597" s="1" t="s">
        <v>41</v>
      </c>
      <c r="D597" s="0" t="n">
        <v>9010</v>
      </c>
      <c r="E597" s="0" t="n">
        <v>11020</v>
      </c>
      <c r="F597" s="0" t="n">
        <f aca="false">D597*E597</f>
        <v>99290200</v>
      </c>
      <c r="G597" s="0" t="n">
        <f aca="false">INDEX(마스터!$E:$E,MATCH(C597,마스터!$A:$A,0))</f>
        <v>5480</v>
      </c>
      <c r="H597" s="0" t="n">
        <f aca="false">D597*G597</f>
        <v>49374800</v>
      </c>
    </row>
    <row r="598" customFormat="false" ht="15" hidden="false" customHeight="false" outlineLevel="0" collapsed="false">
      <c r="A598" s="0" t="s">
        <v>98</v>
      </c>
      <c r="B598" s="1" t="s">
        <v>19</v>
      </c>
      <c r="C598" s="1" t="s">
        <v>42</v>
      </c>
      <c r="D598" s="0" t="n">
        <v>3960</v>
      </c>
      <c r="E598" s="0" t="n">
        <v>12310</v>
      </c>
      <c r="F598" s="0" t="n">
        <f aca="false">D598*E598</f>
        <v>48747600</v>
      </c>
      <c r="G598" s="0" t="n">
        <f aca="false">INDEX(마스터!$E:$E,MATCH(C598,마스터!$A:$A,0))</f>
        <v>6730</v>
      </c>
      <c r="H598" s="0" t="n">
        <f aca="false">D598*G598</f>
        <v>26650800</v>
      </c>
    </row>
    <row r="599" customFormat="false" ht="15" hidden="false" customHeight="false" outlineLevel="0" collapsed="false">
      <c r="A599" s="0" t="s">
        <v>98</v>
      </c>
      <c r="B599" s="1" t="s">
        <v>19</v>
      </c>
      <c r="C599" s="1" t="s">
        <v>100</v>
      </c>
      <c r="D599" s="0" t="n">
        <v>3100</v>
      </c>
      <c r="E599" s="0" t="n">
        <v>10690</v>
      </c>
      <c r="F599" s="0" t="n">
        <f aca="false">D599*E599</f>
        <v>33139000</v>
      </c>
      <c r="G599" s="0" t="n">
        <f aca="false">INDEX(마스터!$E:$E,MATCH(C599,마스터!$A:$A,0))</f>
        <v>5720</v>
      </c>
      <c r="H599" s="0" t="n">
        <f aca="false">D599*G599</f>
        <v>17732000</v>
      </c>
    </row>
    <row r="600" customFormat="false" ht="15" hidden="false" customHeight="false" outlineLevel="0" collapsed="false">
      <c r="A600" s="0" t="s">
        <v>98</v>
      </c>
      <c r="B600" s="1" t="s">
        <v>19</v>
      </c>
      <c r="C600" s="1" t="s">
        <v>47</v>
      </c>
      <c r="D600" s="0" t="n">
        <v>3460</v>
      </c>
      <c r="E600" s="0" t="n">
        <v>8430</v>
      </c>
      <c r="F600" s="0" t="n">
        <f aca="false">D600*E600</f>
        <v>29167800</v>
      </c>
      <c r="G600" s="0" t="n">
        <f aca="false">INDEX(마스터!$E:$E,MATCH(C600,마스터!$A:$A,0))</f>
        <v>4170</v>
      </c>
      <c r="H600" s="0" t="n">
        <f aca="false">D600*G600</f>
        <v>14428200</v>
      </c>
    </row>
    <row r="601" customFormat="false" ht="15" hidden="false" customHeight="false" outlineLevel="0" collapsed="false">
      <c r="A601" s="0" t="s">
        <v>98</v>
      </c>
      <c r="B601" s="1" t="s">
        <v>20</v>
      </c>
      <c r="C601" s="1" t="s">
        <v>53</v>
      </c>
      <c r="D601" s="0" t="n">
        <v>4340</v>
      </c>
      <c r="E601" s="0" t="n">
        <v>13800</v>
      </c>
      <c r="F601" s="0" t="n">
        <f aca="false">D601*E601</f>
        <v>59892000</v>
      </c>
      <c r="G601" s="0" t="n">
        <f aca="false">INDEX(마스터!$E:$E,MATCH(C601,마스터!$A:$A,0))</f>
        <v>6630</v>
      </c>
      <c r="H601" s="0" t="n">
        <f aca="false">D601*G601</f>
        <v>28774200</v>
      </c>
    </row>
    <row r="602" customFormat="false" ht="15" hidden="false" customHeight="false" outlineLevel="0" collapsed="false">
      <c r="A602" s="0" t="s">
        <v>98</v>
      </c>
      <c r="B602" s="1" t="s">
        <v>20</v>
      </c>
      <c r="C602" s="1" t="s">
        <v>34</v>
      </c>
      <c r="D602" s="0" t="n">
        <v>3490</v>
      </c>
      <c r="E602" s="0" t="n">
        <v>13100</v>
      </c>
      <c r="F602" s="0" t="n">
        <f aca="false">D602*E602</f>
        <v>45719000</v>
      </c>
      <c r="G602" s="0" t="n">
        <f aca="false">INDEX(마스터!$E:$E,MATCH(C602,마스터!$A:$A,0))</f>
        <v>6630</v>
      </c>
      <c r="H602" s="0" t="n">
        <f aca="false">D602*G602</f>
        <v>23138700</v>
      </c>
    </row>
    <row r="603" customFormat="false" ht="15" hidden="false" customHeight="false" outlineLevel="0" collapsed="false">
      <c r="A603" s="0" t="s">
        <v>98</v>
      </c>
      <c r="B603" s="1" t="s">
        <v>20</v>
      </c>
      <c r="C603" s="1" t="s">
        <v>48</v>
      </c>
      <c r="D603" s="0" t="n">
        <v>3190</v>
      </c>
      <c r="E603" s="0" t="n">
        <v>13100</v>
      </c>
      <c r="F603" s="0" t="n">
        <f aca="false">D603*E603</f>
        <v>41789000</v>
      </c>
      <c r="G603" s="0" t="n">
        <f aca="false">INDEX(마스터!$E:$E,MATCH(C603,마스터!$A:$A,0))</f>
        <v>6440</v>
      </c>
      <c r="H603" s="0" t="n">
        <f aca="false">D603*G603</f>
        <v>20543600</v>
      </c>
    </row>
    <row r="604" customFormat="false" ht="15" hidden="false" customHeight="false" outlineLevel="0" collapsed="false">
      <c r="A604" s="0" t="s">
        <v>98</v>
      </c>
      <c r="B604" s="1" t="s">
        <v>20</v>
      </c>
      <c r="C604" s="1" t="s">
        <v>83</v>
      </c>
      <c r="D604" s="0" t="n">
        <v>1430</v>
      </c>
      <c r="E604" s="0" t="n">
        <v>9910</v>
      </c>
      <c r="F604" s="0" t="n">
        <f aca="false">D604*E604</f>
        <v>14171300</v>
      </c>
      <c r="G604" s="0" t="n">
        <f aca="false">INDEX(마스터!$E:$E,MATCH(C604,마스터!$A:$A,0))</f>
        <v>4460</v>
      </c>
      <c r="H604" s="0" t="n">
        <f aca="false">D604*G604</f>
        <v>6377800</v>
      </c>
    </row>
    <row r="605" customFormat="false" ht="15" hidden="false" customHeight="false" outlineLevel="0" collapsed="false">
      <c r="A605" s="0" t="s">
        <v>98</v>
      </c>
      <c r="B605" s="1" t="s">
        <v>21</v>
      </c>
      <c r="C605" s="1" t="s">
        <v>82</v>
      </c>
      <c r="D605" s="0" t="n">
        <v>2860</v>
      </c>
      <c r="E605" s="0" t="n">
        <v>11210</v>
      </c>
      <c r="F605" s="0" t="n">
        <f aca="false">D605*E605</f>
        <v>32060600</v>
      </c>
      <c r="G605" s="0" t="n">
        <f aca="false">INDEX(마스터!$E:$E,MATCH(C605,마스터!$A:$A,0))</f>
        <v>5660</v>
      </c>
      <c r="H605" s="0" t="n">
        <f aca="false">D605*G605</f>
        <v>16187600</v>
      </c>
    </row>
    <row r="606" customFormat="false" ht="15" hidden="false" customHeight="false" outlineLevel="0" collapsed="false">
      <c r="A606" s="0" t="s">
        <v>98</v>
      </c>
      <c r="B606" s="1" t="s">
        <v>21</v>
      </c>
      <c r="C606" s="1" t="s">
        <v>45</v>
      </c>
      <c r="D606" s="0" t="n">
        <v>5800</v>
      </c>
      <c r="E606" s="0" t="n">
        <v>12960</v>
      </c>
      <c r="F606" s="0" t="n">
        <f aca="false">D606*E606</f>
        <v>75168000</v>
      </c>
      <c r="G606" s="0" t="n">
        <f aca="false">INDEX(마스터!$E:$E,MATCH(C606,마스터!$A:$A,0))</f>
        <v>6110</v>
      </c>
      <c r="H606" s="0" t="n">
        <f aca="false">D606*G606</f>
        <v>35438000</v>
      </c>
    </row>
    <row r="607" customFormat="false" ht="15" hidden="false" customHeight="false" outlineLevel="0" collapsed="false">
      <c r="A607" s="0" t="s">
        <v>98</v>
      </c>
      <c r="B607" s="1" t="s">
        <v>21</v>
      </c>
      <c r="C607" s="1" t="s">
        <v>56</v>
      </c>
      <c r="D607" s="0" t="n">
        <v>3330</v>
      </c>
      <c r="E607" s="0" t="n">
        <v>10860</v>
      </c>
      <c r="F607" s="0" t="n">
        <f aca="false">D607*E607</f>
        <v>36163800</v>
      </c>
      <c r="G607" s="0" t="n">
        <f aca="false">INDEX(마스터!$E:$E,MATCH(C607,마스터!$A:$A,0))</f>
        <v>5470</v>
      </c>
      <c r="H607" s="0" t="n">
        <f aca="false">D607*G607</f>
        <v>18215100</v>
      </c>
    </row>
    <row r="608" customFormat="false" ht="15" hidden="false" customHeight="false" outlineLevel="0" collapsed="false">
      <c r="A608" s="0" t="s">
        <v>98</v>
      </c>
      <c r="B608" s="1" t="s">
        <v>22</v>
      </c>
      <c r="C608" s="1" t="s">
        <v>82</v>
      </c>
      <c r="D608" s="0" t="n">
        <v>4550</v>
      </c>
      <c r="E608" s="0" t="n">
        <v>11220</v>
      </c>
      <c r="F608" s="0" t="n">
        <f aca="false">D608*E608</f>
        <v>51051000</v>
      </c>
      <c r="G608" s="0" t="n">
        <f aca="false">INDEX(마스터!$E:$E,MATCH(C608,마스터!$A:$A,0))</f>
        <v>5660</v>
      </c>
      <c r="H608" s="0" t="n">
        <f aca="false">D608*G608</f>
        <v>25753000</v>
      </c>
    </row>
    <row r="609" customFormat="false" ht="15" hidden="false" customHeight="false" outlineLevel="0" collapsed="false">
      <c r="A609" s="0" t="s">
        <v>98</v>
      </c>
      <c r="B609" s="1" t="s">
        <v>22</v>
      </c>
      <c r="C609" s="1" t="s">
        <v>72</v>
      </c>
      <c r="D609" s="0" t="n">
        <v>5410</v>
      </c>
      <c r="E609" s="0" t="n">
        <v>12270</v>
      </c>
      <c r="F609" s="0" t="n">
        <f aca="false">D609*E609</f>
        <v>66380700</v>
      </c>
      <c r="G609" s="0" t="n">
        <f aca="false">INDEX(마스터!$E:$E,MATCH(C609,마스터!$A:$A,0))</f>
        <v>5920</v>
      </c>
      <c r="H609" s="0" t="n">
        <f aca="false">D609*G609</f>
        <v>32027200</v>
      </c>
    </row>
    <row r="610" customFormat="false" ht="15" hidden="false" customHeight="false" outlineLevel="0" collapsed="false">
      <c r="A610" s="0" t="s">
        <v>98</v>
      </c>
      <c r="B610" s="1" t="s">
        <v>23</v>
      </c>
      <c r="C610" s="1" t="s">
        <v>58</v>
      </c>
      <c r="D610" s="0" t="n">
        <v>5410</v>
      </c>
      <c r="E610" s="0" t="n">
        <v>11870</v>
      </c>
      <c r="F610" s="0" t="n">
        <f aca="false">D610*E610</f>
        <v>64216700</v>
      </c>
      <c r="G610" s="0" t="n">
        <f aca="false">INDEX(마스터!$E:$E,MATCH(C610,마스터!$A:$A,0))</f>
        <v>5720</v>
      </c>
      <c r="H610" s="0" t="n">
        <f aca="false">D610*G610</f>
        <v>30945200</v>
      </c>
    </row>
    <row r="611" customFormat="false" ht="15" hidden="false" customHeight="false" outlineLevel="0" collapsed="false">
      <c r="A611" s="0" t="s">
        <v>98</v>
      </c>
      <c r="B611" s="1" t="s">
        <v>23</v>
      </c>
      <c r="C611" s="1" t="s">
        <v>86</v>
      </c>
      <c r="D611" s="0" t="n">
        <v>3410</v>
      </c>
      <c r="E611" s="0" t="n">
        <v>12920</v>
      </c>
      <c r="F611" s="0" t="n">
        <f aca="false">D611*E611</f>
        <v>44057200</v>
      </c>
      <c r="G611" s="0" t="n">
        <f aca="false">INDEX(마스터!$E:$E,MATCH(C611,마스터!$A:$A,0))</f>
        <v>6430</v>
      </c>
      <c r="H611" s="0" t="n">
        <f aca="false">D611*G611</f>
        <v>21926300</v>
      </c>
    </row>
    <row r="612" customFormat="false" ht="15" hidden="false" customHeight="false" outlineLevel="0" collapsed="false">
      <c r="A612" s="0" t="s">
        <v>98</v>
      </c>
      <c r="B612" s="1" t="s">
        <v>25</v>
      </c>
      <c r="C612" s="1" t="s">
        <v>37</v>
      </c>
      <c r="D612" s="0" t="n">
        <v>3680</v>
      </c>
      <c r="E612" s="0" t="n">
        <v>10500</v>
      </c>
      <c r="F612" s="0" t="n">
        <f aca="false">D612*E612</f>
        <v>38640000</v>
      </c>
      <c r="G612" s="0" t="n">
        <f aca="false">INDEX(마스터!$E:$E,MATCH(C612,마스터!$A:$A,0))</f>
        <v>4900</v>
      </c>
      <c r="H612" s="0" t="n">
        <f aca="false">D612*G612</f>
        <v>18032000</v>
      </c>
    </row>
    <row r="613" customFormat="false" ht="15" hidden="false" customHeight="false" outlineLevel="0" collapsed="false">
      <c r="A613" s="0" t="s">
        <v>98</v>
      </c>
      <c r="B613" s="1" t="s">
        <v>25</v>
      </c>
      <c r="C613" s="1" t="s">
        <v>61</v>
      </c>
      <c r="D613" s="0" t="n">
        <v>3560</v>
      </c>
      <c r="E613" s="0" t="n">
        <v>10850</v>
      </c>
      <c r="F613" s="0" t="n">
        <f aca="false">D613*E613</f>
        <v>38626000</v>
      </c>
      <c r="G613" s="0" t="n">
        <f aca="false">INDEX(마스터!$E:$E,MATCH(C613,마스터!$A:$A,0))</f>
        <v>5390</v>
      </c>
      <c r="H613" s="0" t="n">
        <f aca="false">D613*G613</f>
        <v>19188400</v>
      </c>
    </row>
    <row r="614" customFormat="false" ht="15" hidden="false" customHeight="false" outlineLevel="0" collapsed="false">
      <c r="A614" s="0" t="s">
        <v>98</v>
      </c>
      <c r="B614" s="1" t="s">
        <v>24</v>
      </c>
      <c r="C614" s="1" t="s">
        <v>60</v>
      </c>
      <c r="D614" s="0" t="n">
        <v>3780</v>
      </c>
      <c r="E614" s="0" t="n">
        <v>13670</v>
      </c>
      <c r="F614" s="0" t="n">
        <f aca="false">D614*E614</f>
        <v>51672600</v>
      </c>
      <c r="G614" s="0" t="n">
        <f aca="false">INDEX(마스터!$E:$E,MATCH(C614,마스터!$A:$A,0))</f>
        <v>6980</v>
      </c>
      <c r="H614" s="0" t="n">
        <f aca="false">D614*G614</f>
        <v>26384400</v>
      </c>
    </row>
    <row r="615" customFormat="false" ht="15" hidden="false" customHeight="false" outlineLevel="0" collapsed="false">
      <c r="A615" s="0" t="s">
        <v>98</v>
      </c>
      <c r="B615" s="1" t="s">
        <v>24</v>
      </c>
      <c r="C615" s="1" t="s">
        <v>55</v>
      </c>
      <c r="D615" s="0" t="n">
        <v>3460</v>
      </c>
      <c r="E615" s="0" t="n">
        <v>12970</v>
      </c>
      <c r="F615" s="0" t="n">
        <f aca="false">D615*E615</f>
        <v>44876200</v>
      </c>
      <c r="G615" s="0" t="n">
        <f aca="false">INDEX(마스터!$E:$E,MATCH(C615,마스터!$A:$A,0))</f>
        <v>6040</v>
      </c>
      <c r="H615" s="0" t="n">
        <f aca="false">D615*G615</f>
        <v>20898400</v>
      </c>
    </row>
    <row r="616" customFormat="false" ht="15" hidden="false" customHeight="false" outlineLevel="0" collapsed="false">
      <c r="A616" s="0" t="s">
        <v>101</v>
      </c>
      <c r="B616" s="1" t="s">
        <v>14</v>
      </c>
      <c r="C616" s="1" t="s">
        <v>45</v>
      </c>
      <c r="D616" s="0" t="n">
        <v>6750</v>
      </c>
      <c r="E616" s="0" t="n">
        <v>11960</v>
      </c>
      <c r="F616" s="0" t="n">
        <f aca="false">D616*E616</f>
        <v>80730000</v>
      </c>
      <c r="G616" s="0" t="n">
        <f aca="false">INDEX(마스터!$E:$E,MATCH(C616,마스터!$A:$A,0))</f>
        <v>6110</v>
      </c>
      <c r="H616" s="0" t="n">
        <f aca="false">D616*G616</f>
        <v>41242500</v>
      </c>
    </row>
    <row r="617" customFormat="false" ht="15" hidden="false" customHeight="false" outlineLevel="0" collapsed="false">
      <c r="A617" s="0" t="s">
        <v>101</v>
      </c>
      <c r="B617" s="1" t="s">
        <v>14</v>
      </c>
      <c r="C617" s="1" t="s">
        <v>41</v>
      </c>
      <c r="D617" s="0" t="n">
        <v>22410</v>
      </c>
      <c r="E617" s="0" t="n">
        <v>10990</v>
      </c>
      <c r="F617" s="0" t="n">
        <f aca="false">D617*E617</f>
        <v>246285900</v>
      </c>
      <c r="G617" s="0" t="n">
        <f aca="false">INDEX(마스터!$E:$E,MATCH(C617,마스터!$A:$A,0))</f>
        <v>5480</v>
      </c>
      <c r="H617" s="0" t="n">
        <f aca="false">D617*G617</f>
        <v>122806800</v>
      </c>
    </row>
    <row r="618" customFormat="false" ht="15" hidden="false" customHeight="false" outlineLevel="0" collapsed="false">
      <c r="A618" s="0" t="s">
        <v>101</v>
      </c>
      <c r="B618" s="1" t="s">
        <v>14</v>
      </c>
      <c r="C618" s="1" t="s">
        <v>46</v>
      </c>
      <c r="D618" s="0" t="n">
        <v>8600</v>
      </c>
      <c r="E618" s="0" t="n">
        <v>13250</v>
      </c>
      <c r="F618" s="0" t="n">
        <f aca="false">D618*E618</f>
        <v>113950000</v>
      </c>
      <c r="G618" s="0" t="n">
        <f aca="false">INDEX(마스터!$E:$E,MATCH(C618,마스터!$A:$A,0))</f>
        <v>6910</v>
      </c>
      <c r="H618" s="0" t="n">
        <f aca="false">D618*G618</f>
        <v>59426000</v>
      </c>
    </row>
    <row r="619" customFormat="false" ht="15" hidden="false" customHeight="false" outlineLevel="0" collapsed="false">
      <c r="A619" s="0" t="s">
        <v>101</v>
      </c>
      <c r="B619" s="1" t="s">
        <v>14</v>
      </c>
      <c r="C619" s="1" t="s">
        <v>64</v>
      </c>
      <c r="D619" s="0" t="n">
        <v>5100</v>
      </c>
      <c r="E619" s="0" t="n">
        <v>11630</v>
      </c>
      <c r="F619" s="0" t="n">
        <f aca="false">D619*E619</f>
        <v>59313000</v>
      </c>
      <c r="G619" s="0" t="n">
        <f aca="false">INDEX(마스터!$E:$E,MATCH(C619,마스터!$A:$A,0))</f>
        <v>5890</v>
      </c>
      <c r="H619" s="0" t="n">
        <f aca="false">D619*G619</f>
        <v>30039000</v>
      </c>
    </row>
    <row r="620" customFormat="false" ht="15" hidden="false" customHeight="false" outlineLevel="0" collapsed="false">
      <c r="A620" s="0" t="s">
        <v>101</v>
      </c>
      <c r="B620" s="1" t="s">
        <v>14</v>
      </c>
      <c r="C620" s="1" t="s">
        <v>65</v>
      </c>
      <c r="D620" s="0" t="n">
        <v>6140</v>
      </c>
      <c r="E620" s="0" t="n">
        <v>13250</v>
      </c>
      <c r="F620" s="0" t="n">
        <f aca="false">D620*E620</f>
        <v>81355000</v>
      </c>
      <c r="G620" s="0" t="n">
        <f aca="false">INDEX(마스터!$E:$E,MATCH(C620,마스터!$A:$A,0))</f>
        <v>6670</v>
      </c>
      <c r="H620" s="0" t="n">
        <f aca="false">D620*G620</f>
        <v>40953800</v>
      </c>
    </row>
    <row r="621" customFormat="false" ht="15" hidden="false" customHeight="false" outlineLevel="0" collapsed="false">
      <c r="A621" s="0" t="s">
        <v>101</v>
      </c>
      <c r="B621" s="1" t="s">
        <v>14</v>
      </c>
      <c r="C621" s="1" t="s">
        <v>55</v>
      </c>
      <c r="D621" s="0" t="n">
        <v>7050</v>
      </c>
      <c r="E621" s="0" t="n">
        <v>11960</v>
      </c>
      <c r="F621" s="0" t="n">
        <f aca="false">D621*E621</f>
        <v>84318000</v>
      </c>
      <c r="G621" s="0" t="n">
        <f aca="false">INDEX(마스터!$E:$E,MATCH(C621,마스터!$A:$A,0))</f>
        <v>6040</v>
      </c>
      <c r="H621" s="0" t="n">
        <f aca="false">D621*G621</f>
        <v>42582000</v>
      </c>
    </row>
    <row r="622" customFormat="false" ht="15" hidden="false" customHeight="false" outlineLevel="0" collapsed="false">
      <c r="A622" s="0" t="s">
        <v>101</v>
      </c>
      <c r="B622" s="1" t="s">
        <v>14</v>
      </c>
      <c r="C622" s="1" t="s">
        <v>66</v>
      </c>
      <c r="D622" s="0" t="n">
        <v>4150</v>
      </c>
      <c r="E622" s="0" t="n">
        <v>11960</v>
      </c>
      <c r="F622" s="0" t="n">
        <f aca="false">D622*E622</f>
        <v>49634000</v>
      </c>
      <c r="G622" s="0" t="n">
        <f aca="false">INDEX(마스터!$E:$E,MATCH(C622,마스터!$A:$A,0))</f>
        <v>6360</v>
      </c>
      <c r="H622" s="0" t="n">
        <f aca="false">D622*G622</f>
        <v>26394000</v>
      </c>
    </row>
    <row r="623" customFormat="false" ht="15" hidden="false" customHeight="false" outlineLevel="0" collapsed="false">
      <c r="A623" s="0" t="s">
        <v>101</v>
      </c>
      <c r="B623" s="1" t="s">
        <v>15</v>
      </c>
      <c r="C623" s="1" t="s">
        <v>37</v>
      </c>
      <c r="D623" s="0" t="n">
        <v>7140</v>
      </c>
      <c r="E623" s="0" t="n">
        <v>9730</v>
      </c>
      <c r="F623" s="0" t="n">
        <f aca="false">D623*E623</f>
        <v>69472200</v>
      </c>
      <c r="G623" s="0" t="n">
        <f aca="false">INDEX(마스터!$E:$E,MATCH(C623,마스터!$A:$A,0))</f>
        <v>4900</v>
      </c>
      <c r="H623" s="0" t="n">
        <f aca="false">D623*G623</f>
        <v>34986000</v>
      </c>
    </row>
    <row r="624" customFormat="false" ht="15" hidden="false" customHeight="false" outlineLevel="0" collapsed="false">
      <c r="A624" s="0" t="s">
        <v>101</v>
      </c>
      <c r="B624" s="1" t="s">
        <v>15</v>
      </c>
      <c r="C624" s="1" t="s">
        <v>49</v>
      </c>
      <c r="D624" s="0" t="n">
        <v>7730</v>
      </c>
      <c r="E624" s="0" t="n">
        <v>10050</v>
      </c>
      <c r="F624" s="0" t="n">
        <f aca="false">D624*E624</f>
        <v>77686500</v>
      </c>
      <c r="G624" s="0" t="n">
        <f aca="false">INDEX(마스터!$E:$E,MATCH(C624,마스터!$A:$A,0))</f>
        <v>5430</v>
      </c>
      <c r="H624" s="0" t="n">
        <f aca="false">D624*G624</f>
        <v>41973900</v>
      </c>
    </row>
    <row r="625" customFormat="false" ht="15" hidden="false" customHeight="false" outlineLevel="0" collapsed="false">
      <c r="A625" s="0" t="s">
        <v>101</v>
      </c>
      <c r="B625" s="1" t="s">
        <v>15</v>
      </c>
      <c r="C625" s="1" t="s">
        <v>41</v>
      </c>
      <c r="D625" s="0" t="n">
        <v>15180</v>
      </c>
      <c r="E625" s="0" t="n">
        <v>11030</v>
      </c>
      <c r="F625" s="0" t="n">
        <f aca="false">D625*E625</f>
        <v>167435400</v>
      </c>
      <c r="G625" s="0" t="n">
        <f aca="false">INDEX(마스터!$E:$E,MATCH(C625,마스터!$A:$A,0))</f>
        <v>5480</v>
      </c>
      <c r="H625" s="0" t="n">
        <f aca="false">D625*G625</f>
        <v>83186400</v>
      </c>
    </row>
    <row r="626" customFormat="false" ht="15" hidden="false" customHeight="false" outlineLevel="0" collapsed="false">
      <c r="A626" s="0" t="s">
        <v>101</v>
      </c>
      <c r="B626" s="1" t="s">
        <v>15</v>
      </c>
      <c r="C626" s="1" t="s">
        <v>64</v>
      </c>
      <c r="D626" s="0" t="n">
        <v>5580</v>
      </c>
      <c r="E626" s="0" t="n">
        <v>11670</v>
      </c>
      <c r="F626" s="0" t="n">
        <f aca="false">D626*E626</f>
        <v>65118600</v>
      </c>
      <c r="G626" s="0" t="n">
        <f aca="false">INDEX(마스터!$E:$E,MATCH(C626,마스터!$A:$A,0))</f>
        <v>5890</v>
      </c>
      <c r="H626" s="0" t="n">
        <f aca="false">D626*G626</f>
        <v>32866200</v>
      </c>
    </row>
    <row r="627" customFormat="false" ht="15" hidden="false" customHeight="false" outlineLevel="0" collapsed="false">
      <c r="A627" s="0" t="s">
        <v>101</v>
      </c>
      <c r="B627" s="1" t="s">
        <v>15</v>
      </c>
      <c r="C627" s="1" t="s">
        <v>34</v>
      </c>
      <c r="D627" s="0" t="n">
        <v>6600</v>
      </c>
      <c r="E627" s="0" t="n">
        <v>12000</v>
      </c>
      <c r="F627" s="0" t="n">
        <f aca="false">D627*E627</f>
        <v>79200000</v>
      </c>
      <c r="G627" s="0" t="n">
        <f aca="false">INDEX(마스터!$E:$E,MATCH(C627,마스터!$A:$A,0))</f>
        <v>6630</v>
      </c>
      <c r="H627" s="0" t="n">
        <f aca="false">D627*G627</f>
        <v>43758000</v>
      </c>
    </row>
    <row r="628" customFormat="false" ht="15" hidden="false" customHeight="false" outlineLevel="0" collapsed="false">
      <c r="A628" s="0" t="s">
        <v>101</v>
      </c>
      <c r="B628" s="1" t="s">
        <v>15</v>
      </c>
      <c r="C628" s="1" t="s">
        <v>55</v>
      </c>
      <c r="D628" s="0" t="n">
        <v>5930</v>
      </c>
      <c r="E628" s="0" t="n">
        <v>12000</v>
      </c>
      <c r="F628" s="0" t="n">
        <f aca="false">D628*E628</f>
        <v>71160000</v>
      </c>
      <c r="G628" s="0" t="n">
        <f aca="false">INDEX(마스터!$E:$E,MATCH(C628,마스터!$A:$A,0))</f>
        <v>6040</v>
      </c>
      <c r="H628" s="0" t="n">
        <f aca="false">D628*G628</f>
        <v>35817200</v>
      </c>
    </row>
    <row r="629" customFormat="false" ht="15" hidden="false" customHeight="false" outlineLevel="0" collapsed="false">
      <c r="A629" s="0" t="s">
        <v>101</v>
      </c>
      <c r="B629" s="1" t="s">
        <v>15</v>
      </c>
      <c r="C629" s="1" t="s">
        <v>66</v>
      </c>
      <c r="D629" s="0" t="n">
        <v>4500</v>
      </c>
      <c r="E629" s="0" t="n">
        <v>12000</v>
      </c>
      <c r="F629" s="0" t="n">
        <f aca="false">D629*E629</f>
        <v>54000000</v>
      </c>
      <c r="G629" s="0" t="n">
        <f aca="false">INDEX(마스터!$E:$E,MATCH(C629,마스터!$A:$A,0))</f>
        <v>6360</v>
      </c>
      <c r="H629" s="0" t="n">
        <f aca="false">D629*G629</f>
        <v>28620000</v>
      </c>
    </row>
    <row r="630" customFormat="false" ht="15" hidden="false" customHeight="false" outlineLevel="0" collapsed="false">
      <c r="A630" s="0" t="s">
        <v>101</v>
      </c>
      <c r="B630" s="1" t="s">
        <v>16</v>
      </c>
      <c r="C630" s="1" t="s">
        <v>37</v>
      </c>
      <c r="D630" s="0" t="n">
        <v>7070</v>
      </c>
      <c r="E630" s="0" t="n">
        <v>10540</v>
      </c>
      <c r="F630" s="0" t="n">
        <f aca="false">D630*E630</f>
        <v>74517800</v>
      </c>
      <c r="G630" s="0" t="n">
        <f aca="false">INDEX(마스터!$E:$E,MATCH(C630,마스터!$A:$A,0))</f>
        <v>4900</v>
      </c>
      <c r="H630" s="0" t="n">
        <f aca="false">D630*G630</f>
        <v>34643000</v>
      </c>
    </row>
    <row r="631" customFormat="false" ht="15" hidden="false" customHeight="false" outlineLevel="0" collapsed="false">
      <c r="A631" s="0" t="s">
        <v>101</v>
      </c>
      <c r="B631" s="1" t="s">
        <v>16</v>
      </c>
      <c r="C631" s="1" t="s">
        <v>41</v>
      </c>
      <c r="D631" s="0" t="n">
        <v>9100</v>
      </c>
      <c r="E631" s="0" t="n">
        <v>11940</v>
      </c>
      <c r="F631" s="0" t="n">
        <f aca="false">D631*E631</f>
        <v>108654000</v>
      </c>
      <c r="G631" s="0" t="n">
        <f aca="false">INDEX(마스터!$E:$E,MATCH(C631,마스터!$A:$A,0))</f>
        <v>5480</v>
      </c>
      <c r="H631" s="0" t="n">
        <f aca="false">D631*G631</f>
        <v>49868000</v>
      </c>
    </row>
    <row r="632" customFormat="false" ht="15" hidden="false" customHeight="false" outlineLevel="0" collapsed="false">
      <c r="A632" s="0" t="s">
        <v>101</v>
      </c>
      <c r="B632" s="1" t="s">
        <v>16</v>
      </c>
      <c r="C632" s="1" t="s">
        <v>60</v>
      </c>
      <c r="D632" s="0" t="n">
        <v>8280</v>
      </c>
      <c r="E632" s="0" t="n">
        <v>13700</v>
      </c>
      <c r="F632" s="0" t="n">
        <f aca="false">D632*E632</f>
        <v>113436000</v>
      </c>
      <c r="G632" s="0" t="n">
        <f aca="false">INDEX(마스터!$E:$E,MATCH(C632,마스터!$A:$A,0))</f>
        <v>6980</v>
      </c>
      <c r="H632" s="0" t="n">
        <f aca="false">D632*G632</f>
        <v>57794400</v>
      </c>
    </row>
    <row r="633" customFormat="false" ht="15" hidden="false" customHeight="false" outlineLevel="0" collapsed="false">
      <c r="A633" s="0" t="s">
        <v>101</v>
      </c>
      <c r="B633" s="1" t="s">
        <v>16</v>
      </c>
      <c r="C633" s="1" t="s">
        <v>34</v>
      </c>
      <c r="D633" s="0" t="n">
        <v>5840</v>
      </c>
      <c r="E633" s="0" t="n">
        <v>13000</v>
      </c>
      <c r="F633" s="0" t="n">
        <f aca="false">D633*E633</f>
        <v>75920000</v>
      </c>
      <c r="G633" s="0" t="n">
        <f aca="false">INDEX(마스터!$E:$E,MATCH(C633,마스터!$A:$A,0))</f>
        <v>6630</v>
      </c>
      <c r="H633" s="0" t="n">
        <f aca="false">D633*G633</f>
        <v>38719200</v>
      </c>
    </row>
    <row r="634" customFormat="false" ht="15" hidden="false" customHeight="false" outlineLevel="0" collapsed="false">
      <c r="A634" s="0" t="s">
        <v>101</v>
      </c>
      <c r="B634" s="1" t="s">
        <v>16</v>
      </c>
      <c r="C634" s="1" t="s">
        <v>66</v>
      </c>
      <c r="D634" s="0" t="n">
        <v>4150</v>
      </c>
      <c r="E634" s="0" t="n">
        <v>13000</v>
      </c>
      <c r="F634" s="0" t="n">
        <f aca="false">D634*E634</f>
        <v>53950000</v>
      </c>
      <c r="G634" s="0" t="n">
        <f aca="false">INDEX(마스터!$E:$E,MATCH(C634,마스터!$A:$A,0))</f>
        <v>6360</v>
      </c>
      <c r="H634" s="0" t="n">
        <f aca="false">D634*G634</f>
        <v>26394000</v>
      </c>
    </row>
    <row r="635" customFormat="false" ht="15" hidden="false" customHeight="false" outlineLevel="0" collapsed="false">
      <c r="A635" s="0" t="s">
        <v>101</v>
      </c>
      <c r="B635" s="1" t="s">
        <v>16</v>
      </c>
      <c r="C635" s="1" t="s">
        <v>44</v>
      </c>
      <c r="D635" s="0" t="n">
        <v>4540</v>
      </c>
      <c r="E635" s="0" t="n">
        <v>11940</v>
      </c>
      <c r="F635" s="0" t="n">
        <f aca="false">D635*E635</f>
        <v>54207600</v>
      </c>
      <c r="G635" s="0" t="n">
        <f aca="false">INDEX(마스터!$E:$E,MATCH(C635,마스터!$A:$A,0))</f>
        <v>5500</v>
      </c>
      <c r="H635" s="0" t="n">
        <f aca="false">D635*G635</f>
        <v>24970000</v>
      </c>
    </row>
    <row r="636" customFormat="false" ht="15" hidden="false" customHeight="false" outlineLevel="0" collapsed="false">
      <c r="A636" s="0" t="s">
        <v>101</v>
      </c>
      <c r="B636" s="1" t="s">
        <v>17</v>
      </c>
      <c r="C636" s="1" t="s">
        <v>38</v>
      </c>
      <c r="D636" s="0" t="n">
        <v>4690</v>
      </c>
      <c r="E636" s="0" t="n">
        <v>11270</v>
      </c>
      <c r="F636" s="0" t="n">
        <f aca="false">D636*E636</f>
        <v>52856300</v>
      </c>
      <c r="G636" s="0" t="n">
        <f aca="false">INDEX(마스터!$E:$E,MATCH(C636,마스터!$A:$A,0))</f>
        <v>5670</v>
      </c>
      <c r="H636" s="0" t="n">
        <f aca="false">D636*G636</f>
        <v>26592300</v>
      </c>
    </row>
    <row r="637" customFormat="false" ht="15" hidden="false" customHeight="false" outlineLevel="0" collapsed="false">
      <c r="A637" s="0" t="s">
        <v>101</v>
      </c>
      <c r="B637" s="1" t="s">
        <v>17</v>
      </c>
      <c r="C637" s="1" t="s">
        <v>41</v>
      </c>
      <c r="D637" s="0" t="n">
        <v>11980</v>
      </c>
      <c r="E637" s="0" t="n">
        <v>10940</v>
      </c>
      <c r="F637" s="0" t="n">
        <f aca="false">D637*E637</f>
        <v>131061200</v>
      </c>
      <c r="G637" s="0" t="n">
        <f aca="false">INDEX(마스터!$E:$E,MATCH(C637,마스터!$A:$A,0))</f>
        <v>5480</v>
      </c>
      <c r="H637" s="0" t="n">
        <f aca="false">D637*G637</f>
        <v>65650400</v>
      </c>
    </row>
    <row r="638" customFormat="false" ht="15" hidden="false" customHeight="false" outlineLevel="0" collapsed="false">
      <c r="A638" s="0" t="s">
        <v>101</v>
      </c>
      <c r="B638" s="1" t="s">
        <v>17</v>
      </c>
      <c r="C638" s="1" t="s">
        <v>60</v>
      </c>
      <c r="D638" s="0" t="n">
        <v>4240</v>
      </c>
      <c r="E638" s="0" t="n">
        <v>12550</v>
      </c>
      <c r="F638" s="0" t="n">
        <f aca="false">D638*E638</f>
        <v>53212000</v>
      </c>
      <c r="G638" s="0" t="n">
        <f aca="false">INDEX(마스터!$E:$E,MATCH(C638,마스터!$A:$A,0))</f>
        <v>6980</v>
      </c>
      <c r="H638" s="0" t="n">
        <f aca="false">D638*G638</f>
        <v>29595200</v>
      </c>
    </row>
    <row r="639" customFormat="false" ht="15" hidden="false" customHeight="false" outlineLevel="0" collapsed="false">
      <c r="A639" s="0" t="s">
        <v>101</v>
      </c>
      <c r="B639" s="1" t="s">
        <v>17</v>
      </c>
      <c r="C639" s="1" t="s">
        <v>34</v>
      </c>
      <c r="D639" s="0" t="n">
        <v>5260</v>
      </c>
      <c r="E639" s="0" t="n">
        <v>11910</v>
      </c>
      <c r="F639" s="0" t="n">
        <f aca="false">D639*E639</f>
        <v>62646600</v>
      </c>
      <c r="G639" s="0" t="n">
        <f aca="false">INDEX(마스터!$E:$E,MATCH(C639,마스터!$A:$A,0))</f>
        <v>6630</v>
      </c>
      <c r="H639" s="0" t="n">
        <f aca="false">D639*G639</f>
        <v>34873800</v>
      </c>
    </row>
    <row r="640" customFormat="false" ht="15" hidden="false" customHeight="false" outlineLevel="0" collapsed="false">
      <c r="A640" s="0" t="s">
        <v>101</v>
      </c>
      <c r="B640" s="1" t="s">
        <v>17</v>
      </c>
      <c r="C640" s="1" t="s">
        <v>48</v>
      </c>
      <c r="D640" s="0" t="n">
        <v>3730</v>
      </c>
      <c r="E640" s="0" t="n">
        <v>11910</v>
      </c>
      <c r="F640" s="0" t="n">
        <f aca="false">D640*E640</f>
        <v>44424300</v>
      </c>
      <c r="G640" s="0" t="n">
        <f aca="false">INDEX(마스터!$E:$E,MATCH(C640,마스터!$A:$A,0))</f>
        <v>6440</v>
      </c>
      <c r="H640" s="0" t="n">
        <f aca="false">D640*G640</f>
        <v>24021200</v>
      </c>
    </row>
    <row r="641" customFormat="false" ht="15" hidden="false" customHeight="false" outlineLevel="0" collapsed="false">
      <c r="A641" s="0" t="s">
        <v>101</v>
      </c>
      <c r="B641" s="1" t="s">
        <v>17</v>
      </c>
      <c r="C641" s="1" t="s">
        <v>66</v>
      </c>
      <c r="D641" s="0" t="n">
        <v>2490</v>
      </c>
      <c r="E641" s="0" t="n">
        <v>11910</v>
      </c>
      <c r="F641" s="0" t="n">
        <f aca="false">D641*E641</f>
        <v>29655900</v>
      </c>
      <c r="G641" s="0" t="n">
        <f aca="false">INDEX(마스터!$E:$E,MATCH(C641,마스터!$A:$A,0))</f>
        <v>6360</v>
      </c>
      <c r="H641" s="0" t="n">
        <f aca="false">D641*G641</f>
        <v>15836400</v>
      </c>
    </row>
    <row r="642" customFormat="false" ht="15" hidden="false" customHeight="false" outlineLevel="0" collapsed="false">
      <c r="A642" s="0" t="s">
        <v>101</v>
      </c>
      <c r="B642" s="1" t="s">
        <v>17</v>
      </c>
      <c r="C642" s="1" t="s">
        <v>71</v>
      </c>
      <c r="D642" s="0" t="n">
        <v>2690</v>
      </c>
      <c r="E642" s="0" t="n">
        <v>8370</v>
      </c>
      <c r="F642" s="0" t="n">
        <f aca="false">D642*E642</f>
        <v>22515300</v>
      </c>
      <c r="G642" s="0" t="n">
        <f aca="false">INDEX(마스터!$E:$E,MATCH(C642,마스터!$A:$A,0))</f>
        <v>4330</v>
      </c>
      <c r="H642" s="0" t="n">
        <f aca="false">D642*G642</f>
        <v>11647700</v>
      </c>
    </row>
    <row r="643" customFormat="false" ht="15" hidden="false" customHeight="false" outlineLevel="0" collapsed="false">
      <c r="A643" s="0" t="s">
        <v>101</v>
      </c>
      <c r="B643" s="1" t="s">
        <v>18</v>
      </c>
      <c r="C643" s="1" t="s">
        <v>58</v>
      </c>
      <c r="D643" s="0" t="n">
        <v>8030</v>
      </c>
      <c r="E643" s="0" t="n">
        <v>11930</v>
      </c>
      <c r="F643" s="0" t="n">
        <f aca="false">D643*E643</f>
        <v>95797900</v>
      </c>
      <c r="G643" s="0" t="n">
        <f aca="false">INDEX(마스터!$E:$E,MATCH(C643,마스터!$A:$A,0))</f>
        <v>5720</v>
      </c>
      <c r="H643" s="0" t="n">
        <f aca="false">D643*G643</f>
        <v>45931600</v>
      </c>
    </row>
    <row r="644" customFormat="false" ht="15" hidden="false" customHeight="false" outlineLevel="0" collapsed="false">
      <c r="A644" s="0" t="s">
        <v>101</v>
      </c>
      <c r="B644" s="1" t="s">
        <v>18</v>
      </c>
      <c r="C644" s="1" t="s">
        <v>41</v>
      </c>
      <c r="D644" s="0" t="n">
        <v>10530</v>
      </c>
      <c r="E644" s="0" t="n">
        <v>11930</v>
      </c>
      <c r="F644" s="0" t="n">
        <f aca="false">D644*E644</f>
        <v>125622900</v>
      </c>
      <c r="G644" s="0" t="n">
        <f aca="false">INDEX(마스터!$E:$E,MATCH(C644,마스터!$A:$A,0))</f>
        <v>5480</v>
      </c>
      <c r="H644" s="0" t="n">
        <f aca="false">D644*G644</f>
        <v>57704400</v>
      </c>
    </row>
    <row r="645" customFormat="false" ht="15" hidden="false" customHeight="false" outlineLevel="0" collapsed="false">
      <c r="A645" s="0" t="s">
        <v>101</v>
      </c>
      <c r="B645" s="1" t="s">
        <v>18</v>
      </c>
      <c r="C645" s="1" t="s">
        <v>65</v>
      </c>
      <c r="D645" s="0" t="n">
        <v>5410</v>
      </c>
      <c r="E645" s="0" t="n">
        <v>14390</v>
      </c>
      <c r="F645" s="0" t="n">
        <f aca="false">D645*E645</f>
        <v>77849900</v>
      </c>
      <c r="G645" s="0" t="n">
        <f aca="false">INDEX(마스터!$E:$E,MATCH(C645,마스터!$A:$A,0))</f>
        <v>6670</v>
      </c>
      <c r="H645" s="0" t="n">
        <f aca="false">D645*G645</f>
        <v>36084700</v>
      </c>
    </row>
    <row r="646" customFormat="false" ht="15" hidden="false" customHeight="false" outlineLevel="0" collapsed="false">
      <c r="A646" s="0" t="s">
        <v>101</v>
      </c>
      <c r="B646" s="1" t="s">
        <v>18</v>
      </c>
      <c r="C646" s="1" t="s">
        <v>72</v>
      </c>
      <c r="D646" s="0" t="n">
        <v>6020</v>
      </c>
      <c r="E646" s="0" t="n">
        <v>12280</v>
      </c>
      <c r="F646" s="0" t="n">
        <f aca="false">D646*E646</f>
        <v>73925600</v>
      </c>
      <c r="G646" s="0" t="n">
        <f aca="false">INDEX(마스터!$E:$E,MATCH(C646,마스터!$A:$A,0))</f>
        <v>5920</v>
      </c>
      <c r="H646" s="0" t="n">
        <f aca="false">D646*G646</f>
        <v>35638400</v>
      </c>
    </row>
    <row r="647" customFormat="false" ht="15" hidden="false" customHeight="false" outlineLevel="0" collapsed="false">
      <c r="A647" s="0" t="s">
        <v>101</v>
      </c>
      <c r="B647" s="1" t="s">
        <v>19</v>
      </c>
      <c r="C647" s="1" t="s">
        <v>64</v>
      </c>
      <c r="D647" s="0" t="n">
        <v>2930</v>
      </c>
      <c r="E647" s="0" t="n">
        <v>11650</v>
      </c>
      <c r="F647" s="0" t="n">
        <f aca="false">D647*E647</f>
        <v>34134500</v>
      </c>
      <c r="G647" s="0" t="n">
        <f aca="false">INDEX(마스터!$E:$E,MATCH(C647,마스터!$A:$A,0))</f>
        <v>5890</v>
      </c>
      <c r="H647" s="0" t="n">
        <f aca="false">D647*G647</f>
        <v>17257700</v>
      </c>
    </row>
    <row r="648" customFormat="false" ht="15" hidden="false" customHeight="false" outlineLevel="0" collapsed="false">
      <c r="A648" s="0" t="s">
        <v>101</v>
      </c>
      <c r="B648" s="1" t="s">
        <v>19</v>
      </c>
      <c r="C648" s="1" t="s">
        <v>48</v>
      </c>
      <c r="D648" s="0" t="n">
        <v>6080</v>
      </c>
      <c r="E648" s="0" t="n">
        <v>11970</v>
      </c>
      <c r="F648" s="0" t="n">
        <f aca="false">D648*E648</f>
        <v>72777600</v>
      </c>
      <c r="G648" s="0" t="n">
        <f aca="false">INDEX(마스터!$E:$E,MATCH(C648,마스터!$A:$A,0))</f>
        <v>6440</v>
      </c>
      <c r="H648" s="0" t="n">
        <f aca="false">D648*G648</f>
        <v>39155200</v>
      </c>
    </row>
    <row r="649" customFormat="false" ht="15" hidden="false" customHeight="false" outlineLevel="0" collapsed="false">
      <c r="A649" s="0" t="s">
        <v>101</v>
      </c>
      <c r="B649" s="1" t="s">
        <v>19</v>
      </c>
      <c r="C649" s="1" t="s">
        <v>90</v>
      </c>
      <c r="D649" s="0" t="n">
        <v>3200</v>
      </c>
      <c r="E649" s="0" t="n">
        <v>10680</v>
      </c>
      <c r="F649" s="0" t="n">
        <f aca="false">D649*E649</f>
        <v>34176000</v>
      </c>
      <c r="G649" s="0" t="n">
        <f aca="false">INDEX(마스터!$E:$E,MATCH(C649,마스터!$A:$A,0))</f>
        <v>5290</v>
      </c>
      <c r="H649" s="0" t="n">
        <f aca="false">D649*G649</f>
        <v>16928000</v>
      </c>
    </row>
    <row r="650" customFormat="false" ht="15" hidden="false" customHeight="false" outlineLevel="0" collapsed="false">
      <c r="A650" s="0" t="s">
        <v>101</v>
      </c>
      <c r="B650" s="1" t="s">
        <v>19</v>
      </c>
      <c r="C650" s="1" t="s">
        <v>71</v>
      </c>
      <c r="D650" s="0" t="n">
        <v>3890</v>
      </c>
      <c r="E650" s="0" t="n">
        <v>8410</v>
      </c>
      <c r="F650" s="0" t="n">
        <f aca="false">D650*E650</f>
        <v>32714900</v>
      </c>
      <c r="G650" s="0" t="n">
        <f aca="false">INDEX(마스터!$E:$E,MATCH(C650,마스터!$A:$A,0))</f>
        <v>4330</v>
      </c>
      <c r="H650" s="0" t="n">
        <f aca="false">D650*G650</f>
        <v>16843700</v>
      </c>
    </row>
    <row r="651" customFormat="false" ht="15" hidden="false" customHeight="false" outlineLevel="0" collapsed="false">
      <c r="A651" s="0" t="s">
        <v>101</v>
      </c>
      <c r="B651" s="1" t="s">
        <v>19</v>
      </c>
      <c r="C651" s="1" t="s">
        <v>47</v>
      </c>
      <c r="D651" s="0" t="n">
        <v>6150</v>
      </c>
      <c r="E651" s="0" t="n">
        <v>8410</v>
      </c>
      <c r="F651" s="0" t="n">
        <f aca="false">D651*E651</f>
        <v>51721500</v>
      </c>
      <c r="G651" s="0" t="n">
        <f aca="false">INDEX(마스터!$E:$E,MATCH(C651,마스터!$A:$A,0))</f>
        <v>4170</v>
      </c>
      <c r="H651" s="0" t="n">
        <f aca="false">D651*G651</f>
        <v>25645500</v>
      </c>
    </row>
    <row r="652" customFormat="false" ht="15" hidden="false" customHeight="false" outlineLevel="0" collapsed="false">
      <c r="A652" s="0" t="s">
        <v>101</v>
      </c>
      <c r="B652" s="1" t="s">
        <v>20</v>
      </c>
      <c r="C652" s="1" t="s">
        <v>32</v>
      </c>
      <c r="D652" s="0" t="n">
        <v>4360</v>
      </c>
      <c r="E652" s="0" t="n">
        <v>12000</v>
      </c>
      <c r="F652" s="0" t="n">
        <f aca="false">D652*E652</f>
        <v>52320000</v>
      </c>
      <c r="G652" s="0" t="n">
        <f aca="false">INDEX(마스터!$E:$E,MATCH(C652,마스터!$A:$A,0))</f>
        <v>5790</v>
      </c>
      <c r="H652" s="0" t="n">
        <f aca="false">D652*G652</f>
        <v>25244400</v>
      </c>
    </row>
    <row r="653" customFormat="false" ht="15" hidden="false" customHeight="false" outlineLevel="0" collapsed="false">
      <c r="A653" s="0" t="s">
        <v>101</v>
      </c>
      <c r="B653" s="1" t="s">
        <v>20</v>
      </c>
      <c r="C653" s="1" t="s">
        <v>64</v>
      </c>
      <c r="D653" s="0" t="n">
        <v>4370</v>
      </c>
      <c r="E653" s="0" t="n">
        <v>12710</v>
      </c>
      <c r="F653" s="0" t="n">
        <f aca="false">D653*E653</f>
        <v>55542700</v>
      </c>
      <c r="G653" s="0" t="n">
        <f aca="false">INDEX(마스터!$E:$E,MATCH(C653,마스터!$A:$A,0))</f>
        <v>5890</v>
      </c>
      <c r="H653" s="0" t="n">
        <f aca="false">D653*G653</f>
        <v>25739300</v>
      </c>
    </row>
    <row r="654" customFormat="false" ht="15" hidden="false" customHeight="false" outlineLevel="0" collapsed="false">
      <c r="A654" s="0" t="s">
        <v>101</v>
      </c>
      <c r="B654" s="1" t="s">
        <v>20</v>
      </c>
      <c r="C654" s="1" t="s">
        <v>80</v>
      </c>
      <c r="D654" s="0" t="n">
        <v>3710</v>
      </c>
      <c r="E654" s="0" t="n">
        <v>9880</v>
      </c>
      <c r="F654" s="0" t="n">
        <f aca="false">D654*E654</f>
        <v>36654800</v>
      </c>
      <c r="G654" s="0" t="n">
        <f aca="false">INDEX(마스터!$E:$E,MATCH(C654,마스터!$A:$A,0))</f>
        <v>4690</v>
      </c>
      <c r="H654" s="0" t="n">
        <f aca="false">D654*G654</f>
        <v>17399900</v>
      </c>
    </row>
    <row r="655" customFormat="false" ht="15" hidden="false" customHeight="false" outlineLevel="0" collapsed="false">
      <c r="A655" s="0" t="s">
        <v>101</v>
      </c>
      <c r="B655" s="1" t="s">
        <v>20</v>
      </c>
      <c r="C655" s="1" t="s">
        <v>40</v>
      </c>
      <c r="D655" s="0" t="n">
        <v>3250</v>
      </c>
      <c r="E655" s="0" t="n">
        <v>9880</v>
      </c>
      <c r="F655" s="0" t="n">
        <f aca="false">D655*E655</f>
        <v>32110000</v>
      </c>
      <c r="G655" s="0" t="n">
        <f aca="false">INDEX(마스터!$E:$E,MATCH(C655,마스터!$A:$A,0))</f>
        <v>4740</v>
      </c>
      <c r="H655" s="0" t="n">
        <f aca="false">D655*G655</f>
        <v>15405000</v>
      </c>
    </row>
    <row r="656" customFormat="false" ht="15" hidden="false" customHeight="false" outlineLevel="0" collapsed="false">
      <c r="A656" s="0" t="s">
        <v>101</v>
      </c>
      <c r="B656" s="1" t="s">
        <v>21</v>
      </c>
      <c r="C656" s="1" t="s">
        <v>45</v>
      </c>
      <c r="D656" s="0" t="n">
        <v>6130</v>
      </c>
      <c r="E656" s="0" t="n">
        <v>12970</v>
      </c>
      <c r="F656" s="0" t="n">
        <f aca="false">D656*E656</f>
        <v>79506100</v>
      </c>
      <c r="G656" s="0" t="n">
        <f aca="false">INDEX(마스터!$E:$E,MATCH(C656,마스터!$A:$A,0))</f>
        <v>6110</v>
      </c>
      <c r="H656" s="0" t="n">
        <f aca="false">D656*G656</f>
        <v>37454300</v>
      </c>
    </row>
    <row r="657" customFormat="false" ht="15" hidden="false" customHeight="false" outlineLevel="0" collapsed="false">
      <c r="A657" s="0" t="s">
        <v>101</v>
      </c>
      <c r="B657" s="1" t="s">
        <v>21</v>
      </c>
      <c r="C657" s="1" t="s">
        <v>54</v>
      </c>
      <c r="D657" s="0" t="n">
        <v>3910</v>
      </c>
      <c r="E657" s="0" t="n">
        <v>13320</v>
      </c>
      <c r="F657" s="0" t="n">
        <f aca="false">D657*E657</f>
        <v>52081200</v>
      </c>
      <c r="G657" s="0" t="n">
        <f aca="false">INDEX(마스터!$E:$E,MATCH(C657,마스터!$A:$A,0))</f>
        <v>6790</v>
      </c>
      <c r="H657" s="0" t="n">
        <f aca="false">D657*G657</f>
        <v>26548900</v>
      </c>
    </row>
    <row r="658" customFormat="false" ht="15" hidden="false" customHeight="false" outlineLevel="0" collapsed="false">
      <c r="A658" s="0" t="s">
        <v>101</v>
      </c>
      <c r="B658" s="1" t="s">
        <v>21</v>
      </c>
      <c r="C658" s="1" t="s">
        <v>36</v>
      </c>
      <c r="D658" s="0" t="n">
        <v>5090</v>
      </c>
      <c r="E658" s="0" t="n">
        <v>10170</v>
      </c>
      <c r="F658" s="0" t="n">
        <f aca="false">D658*E658</f>
        <v>51765300</v>
      </c>
      <c r="G658" s="0" t="n">
        <f aca="false">INDEX(마스터!$E:$E,MATCH(C658,마스터!$A:$A,0))</f>
        <v>4540</v>
      </c>
      <c r="H658" s="0" t="n">
        <f aca="false">D658*G658</f>
        <v>23108600</v>
      </c>
    </row>
    <row r="659" customFormat="false" ht="15" hidden="false" customHeight="false" outlineLevel="0" collapsed="false">
      <c r="A659" s="0" t="s">
        <v>101</v>
      </c>
      <c r="B659" s="1" t="s">
        <v>22</v>
      </c>
      <c r="C659" s="1" t="s">
        <v>65</v>
      </c>
      <c r="D659" s="0" t="n">
        <v>5170</v>
      </c>
      <c r="E659" s="0" t="n">
        <v>14370</v>
      </c>
      <c r="F659" s="0" t="n">
        <f aca="false">D659*E659</f>
        <v>74292900</v>
      </c>
      <c r="G659" s="0" t="n">
        <f aca="false">INDEX(마스터!$E:$E,MATCH(C659,마스터!$A:$A,0))</f>
        <v>6670</v>
      </c>
      <c r="H659" s="0" t="n">
        <f aca="false">D659*G659</f>
        <v>34483900</v>
      </c>
    </row>
    <row r="660" customFormat="false" ht="15" hidden="false" customHeight="false" outlineLevel="0" collapsed="false">
      <c r="A660" s="0" t="s">
        <v>101</v>
      </c>
      <c r="B660" s="1" t="s">
        <v>22</v>
      </c>
      <c r="C660" s="1" t="s">
        <v>72</v>
      </c>
      <c r="D660" s="0" t="n">
        <v>7380</v>
      </c>
      <c r="E660" s="0" t="n">
        <v>12260</v>
      </c>
      <c r="F660" s="0" t="n">
        <f aca="false">D660*E660</f>
        <v>90478800</v>
      </c>
      <c r="G660" s="0" t="n">
        <f aca="false">INDEX(마스터!$E:$E,MATCH(C660,마스터!$A:$A,0))</f>
        <v>5920</v>
      </c>
      <c r="H660" s="0" t="n">
        <f aca="false">D660*G660</f>
        <v>43689600</v>
      </c>
    </row>
    <row r="661" customFormat="false" ht="15" hidden="false" customHeight="false" outlineLevel="0" collapsed="false">
      <c r="A661" s="0" t="s">
        <v>101</v>
      </c>
      <c r="B661" s="1" t="s">
        <v>23</v>
      </c>
      <c r="C661" s="1" t="s">
        <v>58</v>
      </c>
      <c r="D661" s="0" t="n">
        <v>5420</v>
      </c>
      <c r="E661" s="0" t="n">
        <v>11850</v>
      </c>
      <c r="F661" s="0" t="n">
        <f aca="false">D661*E661</f>
        <v>64227000</v>
      </c>
      <c r="G661" s="0" t="n">
        <f aca="false">INDEX(마스터!$E:$E,MATCH(C661,마스터!$A:$A,0))</f>
        <v>5720</v>
      </c>
      <c r="H661" s="0" t="n">
        <f aca="false">D661*G661</f>
        <v>31002400</v>
      </c>
    </row>
    <row r="662" customFormat="false" ht="15" hidden="false" customHeight="false" outlineLevel="0" collapsed="false">
      <c r="A662" s="0" t="s">
        <v>101</v>
      </c>
      <c r="B662" s="1" t="s">
        <v>23</v>
      </c>
      <c r="C662" s="1" t="s">
        <v>55</v>
      </c>
      <c r="D662" s="0" t="n">
        <v>5710</v>
      </c>
      <c r="E662" s="0" t="n">
        <v>12890</v>
      </c>
      <c r="F662" s="0" t="n">
        <f aca="false">D662*E662</f>
        <v>73601900</v>
      </c>
      <c r="G662" s="0" t="n">
        <f aca="false">INDEX(마스터!$E:$E,MATCH(C662,마스터!$A:$A,0))</f>
        <v>6040</v>
      </c>
      <c r="H662" s="0" t="n">
        <f aca="false">D662*G662</f>
        <v>34488400</v>
      </c>
    </row>
    <row r="663" customFormat="false" ht="15" hidden="false" customHeight="false" outlineLevel="0" collapsed="false">
      <c r="A663" s="0" t="s">
        <v>101</v>
      </c>
      <c r="B663" s="1" t="s">
        <v>25</v>
      </c>
      <c r="C663" s="1" t="s">
        <v>35</v>
      </c>
      <c r="D663" s="0" t="n">
        <v>4930</v>
      </c>
      <c r="E663" s="0" t="n">
        <v>10510</v>
      </c>
      <c r="F663" s="0" t="n">
        <f aca="false">D663*E663</f>
        <v>51814300</v>
      </c>
      <c r="G663" s="0" t="n">
        <f aca="false">INDEX(마스터!$E:$E,MATCH(C663,마스터!$A:$A,0))</f>
        <v>4920</v>
      </c>
      <c r="H663" s="0" t="n">
        <f aca="false">D663*G663</f>
        <v>24255600</v>
      </c>
    </row>
    <row r="664" customFormat="false" ht="15" hidden="false" customHeight="false" outlineLevel="0" collapsed="false">
      <c r="A664" s="0" t="s">
        <v>101</v>
      </c>
      <c r="B664" s="1" t="s">
        <v>25</v>
      </c>
      <c r="C664" s="1" t="s">
        <v>57</v>
      </c>
      <c r="D664" s="0" t="n">
        <v>4200</v>
      </c>
      <c r="E664" s="0" t="n">
        <v>10510</v>
      </c>
      <c r="F664" s="0" t="n">
        <f aca="false">D664*E664</f>
        <v>44142000</v>
      </c>
      <c r="G664" s="0" t="n">
        <f aca="false">INDEX(마스터!$E:$E,MATCH(C664,마스터!$A:$A,0))</f>
        <v>4870</v>
      </c>
      <c r="H664" s="0" t="n">
        <f aca="false">D664*G664</f>
        <v>20454000</v>
      </c>
    </row>
    <row r="665" customFormat="false" ht="15" hidden="false" customHeight="false" outlineLevel="0" collapsed="false">
      <c r="A665" s="0" t="s">
        <v>101</v>
      </c>
      <c r="B665" s="1" t="s">
        <v>24</v>
      </c>
      <c r="C665" s="1" t="s">
        <v>59</v>
      </c>
      <c r="D665" s="0" t="n">
        <v>5180</v>
      </c>
      <c r="E665" s="0" t="n">
        <v>14010</v>
      </c>
      <c r="F665" s="0" t="n">
        <f aca="false">D665*E665</f>
        <v>72571800</v>
      </c>
      <c r="G665" s="0" t="n">
        <f aca="false">INDEX(마스터!$E:$E,MATCH(C665,마스터!$A:$A,0))</f>
        <v>6520</v>
      </c>
      <c r="H665" s="0" t="n">
        <f aca="false">D665*G665</f>
        <v>33773600</v>
      </c>
    </row>
    <row r="666" customFormat="false" ht="15" hidden="false" customHeight="false" outlineLevel="0" collapsed="false">
      <c r="A666" s="0" t="s">
        <v>101</v>
      </c>
      <c r="B666" s="1" t="s">
        <v>24</v>
      </c>
      <c r="C666" s="1" t="s">
        <v>55</v>
      </c>
      <c r="D666" s="0" t="n">
        <v>3950</v>
      </c>
      <c r="E666" s="0" t="n">
        <v>12960</v>
      </c>
      <c r="F666" s="0" t="n">
        <f aca="false">D666*E666</f>
        <v>51192000</v>
      </c>
      <c r="G666" s="0" t="n">
        <f aca="false">INDEX(마스터!$E:$E,MATCH(C666,마스터!$A:$A,0))</f>
        <v>6040</v>
      </c>
      <c r="H666" s="0" t="n">
        <f aca="false">D666*G666</f>
        <v>23858000</v>
      </c>
    </row>
    <row r="667" customFormat="false" ht="15" hidden="false" customHeight="false" outlineLevel="0" collapsed="false">
      <c r="A667" s="0" t="s">
        <v>102</v>
      </c>
      <c r="B667" s="1" t="s">
        <v>14</v>
      </c>
      <c r="C667" s="1" t="s">
        <v>45</v>
      </c>
      <c r="D667" s="0" t="n">
        <v>10450</v>
      </c>
      <c r="E667" s="0" t="n">
        <v>11920</v>
      </c>
      <c r="F667" s="0" t="n">
        <f aca="false">D667*E667</f>
        <v>124564000</v>
      </c>
      <c r="G667" s="0" t="n">
        <f aca="false">INDEX(마스터!$E:$E,MATCH(C667,마스터!$A:$A,0))</f>
        <v>6110</v>
      </c>
      <c r="H667" s="0" t="n">
        <f aca="false">D667*G667</f>
        <v>63849500</v>
      </c>
    </row>
    <row r="668" customFormat="false" ht="15" hidden="false" customHeight="false" outlineLevel="0" collapsed="false">
      <c r="A668" s="0" t="s">
        <v>102</v>
      </c>
      <c r="B668" s="1" t="s">
        <v>14</v>
      </c>
      <c r="C668" s="1" t="s">
        <v>54</v>
      </c>
      <c r="D668" s="0" t="n">
        <v>5850</v>
      </c>
      <c r="E668" s="0" t="n">
        <v>12240</v>
      </c>
      <c r="F668" s="0" t="n">
        <f aca="false">D668*E668</f>
        <v>71604000</v>
      </c>
      <c r="G668" s="0" t="n">
        <f aca="false">INDEX(마스터!$E:$E,MATCH(C668,마스터!$A:$A,0))</f>
        <v>6790</v>
      </c>
      <c r="H668" s="0" t="n">
        <f aca="false">D668*G668</f>
        <v>39721500</v>
      </c>
    </row>
    <row r="669" customFormat="false" ht="15" hidden="false" customHeight="false" outlineLevel="0" collapsed="false">
      <c r="A669" s="0" t="s">
        <v>102</v>
      </c>
      <c r="B669" s="1" t="s">
        <v>14</v>
      </c>
      <c r="C669" s="1" t="s">
        <v>43</v>
      </c>
      <c r="D669" s="0" t="n">
        <v>6980</v>
      </c>
      <c r="E669" s="0" t="n">
        <v>11590</v>
      </c>
      <c r="F669" s="0" t="n">
        <f aca="false">D669*E669</f>
        <v>80898200</v>
      </c>
      <c r="G669" s="0" t="n">
        <f aca="false">INDEX(마스터!$E:$E,MATCH(C669,마스터!$A:$A,0))</f>
        <v>6350</v>
      </c>
      <c r="H669" s="0" t="n">
        <f aca="false">D669*G669</f>
        <v>44323000</v>
      </c>
    </row>
    <row r="670" customFormat="false" ht="15" hidden="false" customHeight="false" outlineLevel="0" collapsed="false">
      <c r="A670" s="0" t="s">
        <v>102</v>
      </c>
      <c r="B670" s="1" t="s">
        <v>14</v>
      </c>
      <c r="C670" s="1" t="s">
        <v>66</v>
      </c>
      <c r="D670" s="0" t="n">
        <v>6150</v>
      </c>
      <c r="E670" s="0" t="n">
        <v>11920</v>
      </c>
      <c r="F670" s="0" t="n">
        <f aca="false">D670*E670</f>
        <v>73308000</v>
      </c>
      <c r="G670" s="0" t="n">
        <f aca="false">INDEX(마스터!$E:$E,MATCH(C670,마스터!$A:$A,0))</f>
        <v>6360</v>
      </c>
      <c r="H670" s="0" t="n">
        <f aca="false">D670*G670</f>
        <v>39114000</v>
      </c>
    </row>
    <row r="671" customFormat="false" ht="15" hidden="false" customHeight="false" outlineLevel="0" collapsed="false">
      <c r="A671" s="0" t="s">
        <v>102</v>
      </c>
      <c r="B671" s="1" t="s">
        <v>14</v>
      </c>
      <c r="C671" s="1" t="s">
        <v>35</v>
      </c>
      <c r="D671" s="0" t="n">
        <v>6340</v>
      </c>
      <c r="E671" s="0" t="n">
        <v>9660</v>
      </c>
      <c r="F671" s="0" t="n">
        <f aca="false">D671*E671</f>
        <v>61244400</v>
      </c>
      <c r="G671" s="0" t="n">
        <f aca="false">INDEX(마스터!$E:$E,MATCH(C671,마스터!$A:$A,0))</f>
        <v>4920</v>
      </c>
      <c r="H671" s="0" t="n">
        <f aca="false">D671*G671</f>
        <v>31192800</v>
      </c>
    </row>
    <row r="672" customFormat="false" ht="15" hidden="false" customHeight="false" outlineLevel="0" collapsed="false">
      <c r="A672" s="0" t="s">
        <v>102</v>
      </c>
      <c r="B672" s="1" t="s">
        <v>14</v>
      </c>
      <c r="C672" s="1" t="s">
        <v>36</v>
      </c>
      <c r="D672" s="0" t="n">
        <v>6640</v>
      </c>
      <c r="E672" s="0" t="n">
        <v>9340</v>
      </c>
      <c r="F672" s="0" t="n">
        <f aca="false">D672*E672</f>
        <v>62017600</v>
      </c>
      <c r="G672" s="0" t="n">
        <f aca="false">INDEX(마스터!$E:$E,MATCH(C672,마스터!$A:$A,0))</f>
        <v>4540</v>
      </c>
      <c r="H672" s="0" t="n">
        <f aca="false">D672*G672</f>
        <v>30145600</v>
      </c>
    </row>
    <row r="673" customFormat="false" ht="15" hidden="false" customHeight="false" outlineLevel="0" collapsed="false">
      <c r="A673" s="0" t="s">
        <v>102</v>
      </c>
      <c r="B673" s="1" t="s">
        <v>15</v>
      </c>
      <c r="C673" s="1" t="s">
        <v>37</v>
      </c>
      <c r="D673" s="0" t="n">
        <v>7950</v>
      </c>
      <c r="E673" s="0" t="n">
        <v>9760</v>
      </c>
      <c r="F673" s="0" t="n">
        <f aca="false">D673*E673</f>
        <v>77592000</v>
      </c>
      <c r="G673" s="0" t="n">
        <f aca="false">INDEX(마스터!$E:$E,MATCH(C673,마스터!$A:$A,0))</f>
        <v>4900</v>
      </c>
      <c r="H673" s="0" t="n">
        <f aca="false">D673*G673</f>
        <v>38955000</v>
      </c>
    </row>
    <row r="674" customFormat="false" ht="15" hidden="false" customHeight="false" outlineLevel="0" collapsed="false">
      <c r="A674" s="0" t="s">
        <v>102</v>
      </c>
      <c r="B674" s="1" t="s">
        <v>15</v>
      </c>
      <c r="C674" s="1" t="s">
        <v>65</v>
      </c>
      <c r="D674" s="0" t="n">
        <v>6970</v>
      </c>
      <c r="E674" s="0" t="n">
        <v>13340</v>
      </c>
      <c r="F674" s="0" t="n">
        <f aca="false">D674*E674</f>
        <v>92979800</v>
      </c>
      <c r="G674" s="0" t="n">
        <f aca="false">INDEX(마스터!$E:$E,MATCH(C674,마스터!$A:$A,0))</f>
        <v>6670</v>
      </c>
      <c r="H674" s="0" t="n">
        <f aca="false">D674*G674</f>
        <v>46489900</v>
      </c>
    </row>
    <row r="675" customFormat="false" ht="15" hidden="false" customHeight="false" outlineLevel="0" collapsed="false">
      <c r="A675" s="0" t="s">
        <v>102</v>
      </c>
      <c r="B675" s="1" t="s">
        <v>15</v>
      </c>
      <c r="C675" s="1" t="s">
        <v>66</v>
      </c>
      <c r="D675" s="0" t="n">
        <v>7630</v>
      </c>
      <c r="E675" s="0" t="n">
        <v>12030</v>
      </c>
      <c r="F675" s="0" t="n">
        <f aca="false">D675*E675</f>
        <v>91788900</v>
      </c>
      <c r="G675" s="0" t="n">
        <f aca="false">INDEX(마스터!$E:$E,MATCH(C675,마스터!$A:$A,0))</f>
        <v>6360</v>
      </c>
      <c r="H675" s="0" t="n">
        <f aca="false">D675*G675</f>
        <v>48526800</v>
      </c>
    </row>
    <row r="676" customFormat="false" ht="15" hidden="false" customHeight="false" outlineLevel="0" collapsed="false">
      <c r="A676" s="0" t="s">
        <v>102</v>
      </c>
      <c r="B676" s="1" t="s">
        <v>15</v>
      </c>
      <c r="C676" s="1" t="s">
        <v>75</v>
      </c>
      <c r="D676" s="0" t="n">
        <v>4650</v>
      </c>
      <c r="E676" s="0" t="n">
        <v>11060</v>
      </c>
      <c r="F676" s="0" t="n">
        <f aca="false">D676*E676</f>
        <v>51429000</v>
      </c>
      <c r="G676" s="0" t="n">
        <f aca="false">INDEX(마스터!$E:$E,MATCH(C676,마스터!$A:$A,0))</f>
        <v>5440</v>
      </c>
      <c r="H676" s="0" t="n">
        <f aca="false">D676*G676</f>
        <v>25296000</v>
      </c>
    </row>
    <row r="677" customFormat="false" ht="15" hidden="false" customHeight="false" outlineLevel="0" collapsed="false">
      <c r="A677" s="0" t="s">
        <v>102</v>
      </c>
      <c r="B677" s="1" t="s">
        <v>15</v>
      </c>
      <c r="C677" s="1" t="s">
        <v>47</v>
      </c>
      <c r="D677" s="0" t="n">
        <v>7040</v>
      </c>
      <c r="E677" s="0" t="n">
        <v>8460</v>
      </c>
      <c r="F677" s="0" t="n">
        <f aca="false">D677*E677</f>
        <v>59558400</v>
      </c>
      <c r="G677" s="0" t="n">
        <f aca="false">INDEX(마스터!$E:$E,MATCH(C677,마스터!$A:$A,0))</f>
        <v>4170</v>
      </c>
      <c r="H677" s="0" t="n">
        <f aca="false">D677*G677</f>
        <v>29356800</v>
      </c>
    </row>
    <row r="678" customFormat="false" ht="15" hidden="false" customHeight="false" outlineLevel="0" collapsed="false">
      <c r="A678" s="0" t="s">
        <v>102</v>
      </c>
      <c r="B678" s="1" t="s">
        <v>15</v>
      </c>
      <c r="C678" s="1" t="s">
        <v>40</v>
      </c>
      <c r="D678" s="0" t="n">
        <v>6620</v>
      </c>
      <c r="E678" s="0" t="n">
        <v>9110</v>
      </c>
      <c r="F678" s="0" t="n">
        <f aca="false">D678*E678</f>
        <v>60308200</v>
      </c>
      <c r="G678" s="0" t="n">
        <f aca="false">INDEX(마스터!$E:$E,MATCH(C678,마스터!$A:$A,0))</f>
        <v>4740</v>
      </c>
      <c r="H678" s="0" t="n">
        <f aca="false">D678*G678</f>
        <v>31378800</v>
      </c>
    </row>
    <row r="679" customFormat="false" ht="15" hidden="false" customHeight="false" outlineLevel="0" collapsed="false">
      <c r="A679" s="0" t="s">
        <v>102</v>
      </c>
      <c r="B679" s="1" t="s">
        <v>16</v>
      </c>
      <c r="C679" s="1" t="s">
        <v>65</v>
      </c>
      <c r="D679" s="0" t="n">
        <v>6000</v>
      </c>
      <c r="E679" s="0" t="n">
        <v>14430</v>
      </c>
      <c r="F679" s="0" t="n">
        <f aca="false">D679*E679</f>
        <v>86580000</v>
      </c>
      <c r="G679" s="0" t="n">
        <f aca="false">INDEX(마스터!$E:$E,MATCH(C679,마스터!$A:$A,0))</f>
        <v>6670</v>
      </c>
      <c r="H679" s="0" t="n">
        <f aca="false">D679*G679</f>
        <v>40020000</v>
      </c>
    </row>
    <row r="680" customFormat="false" ht="15" hidden="false" customHeight="false" outlineLevel="0" collapsed="false">
      <c r="A680" s="0" t="s">
        <v>102</v>
      </c>
      <c r="B680" s="1" t="s">
        <v>16</v>
      </c>
      <c r="C680" s="1" t="s">
        <v>48</v>
      </c>
      <c r="D680" s="0" t="n">
        <v>8510</v>
      </c>
      <c r="E680" s="0" t="n">
        <v>13020</v>
      </c>
      <c r="F680" s="0" t="n">
        <f aca="false">D680*E680</f>
        <v>110800200</v>
      </c>
      <c r="G680" s="0" t="n">
        <f aca="false">INDEX(마스터!$E:$E,MATCH(C680,마스터!$A:$A,0))</f>
        <v>6440</v>
      </c>
      <c r="H680" s="0" t="n">
        <f aca="false">D680*G680</f>
        <v>54804400</v>
      </c>
    </row>
    <row r="681" customFormat="false" ht="15" hidden="false" customHeight="false" outlineLevel="0" collapsed="false">
      <c r="A681" s="0" t="s">
        <v>102</v>
      </c>
      <c r="B681" s="1" t="s">
        <v>16</v>
      </c>
      <c r="C681" s="1" t="s">
        <v>55</v>
      </c>
      <c r="D681" s="0" t="n">
        <v>6980</v>
      </c>
      <c r="E681" s="0" t="n">
        <v>13020</v>
      </c>
      <c r="F681" s="0" t="n">
        <f aca="false">D681*E681</f>
        <v>90879600</v>
      </c>
      <c r="G681" s="0" t="n">
        <f aca="false">INDEX(마스터!$E:$E,MATCH(C681,마스터!$A:$A,0))</f>
        <v>6040</v>
      </c>
      <c r="H681" s="0" t="n">
        <f aca="false">D681*G681</f>
        <v>42159200</v>
      </c>
    </row>
    <row r="682" customFormat="false" ht="15" hidden="false" customHeight="false" outlineLevel="0" collapsed="false">
      <c r="A682" s="0" t="s">
        <v>102</v>
      </c>
      <c r="B682" s="1" t="s">
        <v>16</v>
      </c>
      <c r="C682" s="1" t="s">
        <v>66</v>
      </c>
      <c r="D682" s="0" t="n">
        <v>6460</v>
      </c>
      <c r="E682" s="0" t="n">
        <v>13020</v>
      </c>
      <c r="F682" s="0" t="n">
        <f aca="false">D682*E682</f>
        <v>84109200</v>
      </c>
      <c r="G682" s="0" t="n">
        <f aca="false">INDEX(마스터!$E:$E,MATCH(C682,마스터!$A:$A,0))</f>
        <v>6360</v>
      </c>
      <c r="H682" s="0" t="n">
        <f aca="false">D682*G682</f>
        <v>41085600</v>
      </c>
    </row>
    <row r="683" customFormat="false" ht="15" hidden="false" customHeight="false" outlineLevel="0" collapsed="false">
      <c r="A683" s="0" t="s">
        <v>102</v>
      </c>
      <c r="B683" s="1" t="s">
        <v>16</v>
      </c>
      <c r="C683" s="1" t="s">
        <v>71</v>
      </c>
      <c r="D683" s="0" t="n">
        <v>5450</v>
      </c>
      <c r="E683" s="0" t="n">
        <v>9150</v>
      </c>
      <c r="F683" s="0" t="n">
        <f aca="false">D683*E683</f>
        <v>49867500</v>
      </c>
      <c r="G683" s="0" t="n">
        <f aca="false">INDEX(마스터!$E:$E,MATCH(C683,마스터!$A:$A,0))</f>
        <v>4330</v>
      </c>
      <c r="H683" s="0" t="n">
        <f aca="false">D683*G683</f>
        <v>23598500</v>
      </c>
    </row>
    <row r="684" customFormat="false" ht="15" hidden="false" customHeight="false" outlineLevel="0" collapsed="false">
      <c r="A684" s="0" t="s">
        <v>102</v>
      </c>
      <c r="B684" s="1" t="s">
        <v>17</v>
      </c>
      <c r="C684" s="1" t="s">
        <v>61</v>
      </c>
      <c r="D684" s="0" t="n">
        <v>4900</v>
      </c>
      <c r="E684" s="0" t="n">
        <v>9980</v>
      </c>
      <c r="F684" s="0" t="n">
        <f aca="false">D684*E684</f>
        <v>48902000</v>
      </c>
      <c r="G684" s="0" t="n">
        <f aca="false">INDEX(마스터!$E:$E,MATCH(C684,마스터!$A:$A,0))</f>
        <v>5390</v>
      </c>
      <c r="H684" s="0" t="n">
        <f aca="false">D684*G684</f>
        <v>26411000</v>
      </c>
    </row>
    <row r="685" customFormat="false" ht="15" hidden="false" customHeight="false" outlineLevel="0" collapsed="false">
      <c r="A685" s="0" t="s">
        <v>102</v>
      </c>
      <c r="B685" s="1" t="s">
        <v>17</v>
      </c>
      <c r="C685" s="1" t="s">
        <v>41</v>
      </c>
      <c r="D685" s="0" t="n">
        <v>5580</v>
      </c>
      <c r="E685" s="0" t="n">
        <v>10940</v>
      </c>
      <c r="F685" s="0" t="n">
        <f aca="false">D685*E685</f>
        <v>61045200</v>
      </c>
      <c r="G685" s="0" t="n">
        <f aca="false">INDEX(마스터!$E:$E,MATCH(C685,마스터!$A:$A,0))</f>
        <v>5480</v>
      </c>
      <c r="H685" s="0" t="n">
        <f aca="false">D685*G685</f>
        <v>30578400</v>
      </c>
    </row>
    <row r="686" customFormat="false" ht="15" hidden="false" customHeight="false" outlineLevel="0" collapsed="false">
      <c r="A686" s="0" t="s">
        <v>102</v>
      </c>
      <c r="B686" s="1" t="s">
        <v>17</v>
      </c>
      <c r="C686" s="1" t="s">
        <v>33</v>
      </c>
      <c r="D686" s="0" t="n">
        <v>6520</v>
      </c>
      <c r="E686" s="0" t="n">
        <v>12230</v>
      </c>
      <c r="F686" s="0" t="n">
        <f aca="false">D686*E686</f>
        <v>79739600</v>
      </c>
      <c r="G686" s="0" t="n">
        <f aca="false">INDEX(마스터!$E:$E,MATCH(C686,마스터!$A:$A,0))</f>
        <v>6790</v>
      </c>
      <c r="H686" s="0" t="n">
        <f aca="false">D686*G686</f>
        <v>44270800</v>
      </c>
    </row>
    <row r="687" customFormat="false" ht="15" hidden="false" customHeight="false" outlineLevel="0" collapsed="false">
      <c r="A687" s="0" t="s">
        <v>102</v>
      </c>
      <c r="B687" s="1" t="s">
        <v>17</v>
      </c>
      <c r="C687" s="1" t="s">
        <v>66</v>
      </c>
      <c r="D687" s="0" t="n">
        <v>4080</v>
      </c>
      <c r="E687" s="0" t="n">
        <v>11910</v>
      </c>
      <c r="F687" s="0" t="n">
        <f aca="false">D687*E687</f>
        <v>48592800</v>
      </c>
      <c r="G687" s="0" t="n">
        <f aca="false">INDEX(마스터!$E:$E,MATCH(C687,마스터!$A:$A,0))</f>
        <v>6360</v>
      </c>
      <c r="H687" s="0" t="n">
        <f aca="false">D687*G687</f>
        <v>25948800</v>
      </c>
    </row>
    <row r="688" customFormat="false" ht="15" hidden="false" customHeight="false" outlineLevel="0" collapsed="false">
      <c r="A688" s="0" t="s">
        <v>102</v>
      </c>
      <c r="B688" s="1" t="s">
        <v>17</v>
      </c>
      <c r="C688" s="1" t="s">
        <v>71</v>
      </c>
      <c r="D688" s="0" t="n">
        <v>5060</v>
      </c>
      <c r="E688" s="0" t="n">
        <v>8370</v>
      </c>
      <c r="F688" s="0" t="n">
        <f aca="false">D688*E688</f>
        <v>42352200</v>
      </c>
      <c r="G688" s="0" t="n">
        <f aca="false">INDEX(마스터!$E:$E,MATCH(C688,마스터!$A:$A,0))</f>
        <v>4330</v>
      </c>
      <c r="H688" s="0" t="n">
        <f aca="false">D688*G688</f>
        <v>21909800</v>
      </c>
    </row>
    <row r="689" customFormat="false" ht="15" hidden="false" customHeight="false" outlineLevel="0" collapsed="false">
      <c r="A689" s="0" t="s">
        <v>102</v>
      </c>
      <c r="B689" s="1" t="s">
        <v>18</v>
      </c>
      <c r="C689" s="1" t="s">
        <v>38</v>
      </c>
      <c r="D689" s="0" t="n">
        <v>6260</v>
      </c>
      <c r="E689" s="0" t="n">
        <v>12280</v>
      </c>
      <c r="F689" s="0" t="n">
        <f aca="false">D689*E689</f>
        <v>76872800</v>
      </c>
      <c r="G689" s="0" t="n">
        <f aca="false">INDEX(마스터!$E:$E,MATCH(C689,마스터!$A:$A,0))</f>
        <v>5670</v>
      </c>
      <c r="H689" s="0" t="n">
        <f aca="false">D689*G689</f>
        <v>35494200</v>
      </c>
    </row>
    <row r="690" customFormat="false" ht="15" hidden="false" customHeight="false" outlineLevel="0" collapsed="false">
      <c r="A690" s="0" t="s">
        <v>102</v>
      </c>
      <c r="B690" s="1" t="s">
        <v>18</v>
      </c>
      <c r="C690" s="1" t="s">
        <v>60</v>
      </c>
      <c r="D690" s="0" t="n">
        <v>6090</v>
      </c>
      <c r="E690" s="0" t="n">
        <v>13680</v>
      </c>
      <c r="F690" s="0" t="n">
        <f aca="false">D690*E690</f>
        <v>83311200</v>
      </c>
      <c r="G690" s="0" t="n">
        <f aca="false">INDEX(마스터!$E:$E,MATCH(C690,마스터!$A:$A,0))</f>
        <v>6980</v>
      </c>
      <c r="H690" s="0" t="n">
        <f aca="false">D690*G690</f>
        <v>42508200</v>
      </c>
    </row>
    <row r="691" customFormat="false" ht="15" hidden="false" customHeight="false" outlineLevel="0" collapsed="false">
      <c r="A691" s="0" t="s">
        <v>102</v>
      </c>
      <c r="B691" s="1" t="s">
        <v>18</v>
      </c>
      <c r="C691" s="1" t="s">
        <v>51</v>
      </c>
      <c r="D691" s="0" t="n">
        <v>6980</v>
      </c>
      <c r="E691" s="0" t="n">
        <v>14380</v>
      </c>
      <c r="F691" s="0" t="n">
        <f aca="false">D691*E691</f>
        <v>100372400</v>
      </c>
      <c r="G691" s="0" t="n">
        <f aca="false">INDEX(마스터!$E:$E,MATCH(C691,마스터!$A:$A,0))</f>
        <v>7480</v>
      </c>
      <c r="H691" s="0" t="n">
        <f aca="false">D691*G691</f>
        <v>52210400</v>
      </c>
    </row>
    <row r="692" customFormat="false" ht="15" hidden="false" customHeight="false" outlineLevel="0" collapsed="false">
      <c r="A692" s="0" t="s">
        <v>102</v>
      </c>
      <c r="B692" s="1" t="s">
        <v>18</v>
      </c>
      <c r="C692" s="1" t="s">
        <v>71</v>
      </c>
      <c r="D692" s="0" t="n">
        <v>4210</v>
      </c>
      <c r="E692" s="0" t="n">
        <v>9120</v>
      </c>
      <c r="F692" s="0" t="n">
        <f aca="false">D692*E692</f>
        <v>38395200</v>
      </c>
      <c r="G692" s="0" t="n">
        <f aca="false">INDEX(마스터!$E:$E,MATCH(C692,마스터!$A:$A,0))</f>
        <v>4330</v>
      </c>
      <c r="H692" s="0" t="n">
        <f aca="false">D692*G692</f>
        <v>18229300</v>
      </c>
    </row>
    <row r="693" customFormat="false" ht="15" hidden="false" customHeight="false" outlineLevel="0" collapsed="false">
      <c r="A693" s="0" t="s">
        <v>102</v>
      </c>
      <c r="B693" s="1" t="s">
        <v>19</v>
      </c>
      <c r="C693" s="1" t="s">
        <v>54</v>
      </c>
      <c r="D693" s="0" t="n">
        <v>2440</v>
      </c>
      <c r="E693" s="0" t="n">
        <v>12310</v>
      </c>
      <c r="F693" s="0" t="n">
        <f aca="false">D693*E693</f>
        <v>30036400</v>
      </c>
      <c r="G693" s="0" t="n">
        <f aca="false">INDEX(마스터!$E:$E,MATCH(C693,마스터!$A:$A,0))</f>
        <v>6790</v>
      </c>
      <c r="H693" s="0" t="n">
        <f aca="false">D693*G693</f>
        <v>16567600</v>
      </c>
    </row>
    <row r="694" customFormat="false" ht="15" hidden="false" customHeight="false" outlineLevel="0" collapsed="false">
      <c r="A694" s="0" t="s">
        <v>102</v>
      </c>
      <c r="B694" s="1" t="s">
        <v>19</v>
      </c>
      <c r="C694" s="1" t="s">
        <v>34</v>
      </c>
      <c r="D694" s="0" t="n">
        <v>4320</v>
      </c>
      <c r="E694" s="0" t="n">
        <v>11990</v>
      </c>
      <c r="F694" s="0" t="n">
        <f aca="false">D694*E694</f>
        <v>51796800</v>
      </c>
      <c r="G694" s="0" t="n">
        <f aca="false">INDEX(마스터!$E:$E,MATCH(C694,마스터!$A:$A,0))</f>
        <v>6630</v>
      </c>
      <c r="H694" s="0" t="n">
        <f aca="false">D694*G694</f>
        <v>28641600</v>
      </c>
    </row>
    <row r="695" customFormat="false" ht="15" hidden="false" customHeight="false" outlineLevel="0" collapsed="false">
      <c r="A695" s="0" t="s">
        <v>102</v>
      </c>
      <c r="B695" s="1" t="s">
        <v>19</v>
      </c>
      <c r="C695" s="1" t="s">
        <v>42</v>
      </c>
      <c r="D695" s="0" t="n">
        <v>4640</v>
      </c>
      <c r="E695" s="0" t="n">
        <v>12310</v>
      </c>
      <c r="F695" s="0" t="n">
        <f aca="false">D695*E695</f>
        <v>57118400</v>
      </c>
      <c r="G695" s="0" t="n">
        <f aca="false">INDEX(마스터!$E:$E,MATCH(C695,마스터!$A:$A,0))</f>
        <v>6730</v>
      </c>
      <c r="H695" s="0" t="n">
        <f aca="false">D695*G695</f>
        <v>31227200</v>
      </c>
    </row>
    <row r="696" customFormat="false" ht="15" hidden="false" customHeight="false" outlineLevel="0" collapsed="false">
      <c r="A696" s="0" t="s">
        <v>102</v>
      </c>
      <c r="B696" s="1" t="s">
        <v>19</v>
      </c>
      <c r="C696" s="1" t="s">
        <v>55</v>
      </c>
      <c r="D696" s="0" t="n">
        <v>5150</v>
      </c>
      <c r="E696" s="0" t="n">
        <v>11990</v>
      </c>
      <c r="F696" s="0" t="n">
        <f aca="false">D696*E696</f>
        <v>61748500</v>
      </c>
      <c r="G696" s="0" t="n">
        <f aca="false">INDEX(마스터!$E:$E,MATCH(C696,마스터!$A:$A,0))</f>
        <v>6040</v>
      </c>
      <c r="H696" s="0" t="n">
        <f aca="false">D696*G696</f>
        <v>31106000</v>
      </c>
    </row>
    <row r="697" customFormat="false" ht="15" hidden="false" customHeight="false" outlineLevel="0" collapsed="false">
      <c r="A697" s="0" t="s">
        <v>102</v>
      </c>
      <c r="B697" s="1" t="s">
        <v>19</v>
      </c>
      <c r="C697" s="1" t="s">
        <v>66</v>
      </c>
      <c r="D697" s="0" t="n">
        <v>2900</v>
      </c>
      <c r="E697" s="0" t="n">
        <v>11990</v>
      </c>
      <c r="F697" s="0" t="n">
        <f aca="false">D697*E697</f>
        <v>34771000</v>
      </c>
      <c r="G697" s="0" t="n">
        <f aca="false">INDEX(마스터!$E:$E,MATCH(C697,마스터!$A:$A,0))</f>
        <v>6360</v>
      </c>
      <c r="H697" s="0" t="n">
        <f aca="false">D697*G697</f>
        <v>18444000</v>
      </c>
    </row>
    <row r="698" customFormat="false" ht="15" hidden="false" customHeight="false" outlineLevel="0" collapsed="false">
      <c r="A698" s="0" t="s">
        <v>102</v>
      </c>
      <c r="B698" s="1" t="s">
        <v>20</v>
      </c>
      <c r="C698" s="1" t="s">
        <v>82</v>
      </c>
      <c r="D698" s="0" t="n">
        <v>2890</v>
      </c>
      <c r="E698" s="0" t="n">
        <v>11280</v>
      </c>
      <c r="F698" s="0" t="n">
        <f aca="false">D698*E698</f>
        <v>32599200</v>
      </c>
      <c r="G698" s="0" t="n">
        <f aca="false">INDEX(마스터!$E:$E,MATCH(C698,마스터!$A:$A,0))</f>
        <v>5660</v>
      </c>
      <c r="H698" s="0" t="n">
        <f aca="false">D698*G698</f>
        <v>16357400</v>
      </c>
    </row>
    <row r="699" customFormat="false" ht="15" hidden="false" customHeight="false" outlineLevel="0" collapsed="false">
      <c r="A699" s="0" t="s">
        <v>102</v>
      </c>
      <c r="B699" s="1" t="s">
        <v>20</v>
      </c>
      <c r="C699" s="1" t="s">
        <v>38</v>
      </c>
      <c r="D699" s="0" t="n">
        <v>5010</v>
      </c>
      <c r="E699" s="0" t="n">
        <v>12340</v>
      </c>
      <c r="F699" s="0" t="n">
        <f aca="false">D699*E699</f>
        <v>61823400</v>
      </c>
      <c r="G699" s="0" t="n">
        <f aca="false">INDEX(마스터!$E:$E,MATCH(C699,마스터!$A:$A,0))</f>
        <v>5670</v>
      </c>
      <c r="H699" s="0" t="n">
        <f aca="false">D699*G699</f>
        <v>28406700</v>
      </c>
    </row>
    <row r="700" customFormat="false" ht="15" hidden="false" customHeight="false" outlineLevel="0" collapsed="false">
      <c r="A700" s="0" t="s">
        <v>102</v>
      </c>
      <c r="B700" s="1" t="s">
        <v>20</v>
      </c>
      <c r="C700" s="1" t="s">
        <v>83</v>
      </c>
      <c r="D700" s="0" t="n">
        <v>1810</v>
      </c>
      <c r="E700" s="0" t="n">
        <v>9870</v>
      </c>
      <c r="F700" s="0" t="n">
        <f aca="false">D700*E700</f>
        <v>17864700</v>
      </c>
      <c r="G700" s="0" t="n">
        <f aca="false">INDEX(마스터!$E:$E,MATCH(C700,마스터!$A:$A,0))</f>
        <v>4460</v>
      </c>
      <c r="H700" s="0" t="n">
        <f aca="false">D700*G700</f>
        <v>8072600</v>
      </c>
    </row>
    <row r="701" customFormat="false" ht="15" hidden="false" customHeight="false" outlineLevel="0" collapsed="false">
      <c r="A701" s="0" t="s">
        <v>102</v>
      </c>
      <c r="B701" s="1" t="s">
        <v>20</v>
      </c>
      <c r="C701" s="1" t="s">
        <v>68</v>
      </c>
      <c r="D701" s="0" t="n">
        <v>4360</v>
      </c>
      <c r="E701" s="0" t="n">
        <v>10580</v>
      </c>
      <c r="F701" s="0" t="n">
        <f aca="false">D701*E701</f>
        <v>46128800</v>
      </c>
      <c r="G701" s="0" t="n">
        <f aca="false">INDEX(마스터!$E:$E,MATCH(C701,마스터!$A:$A,0))</f>
        <v>4880</v>
      </c>
      <c r="H701" s="0" t="n">
        <f aca="false">D701*G701</f>
        <v>21276800</v>
      </c>
    </row>
    <row r="702" customFormat="false" ht="15" hidden="false" customHeight="false" outlineLevel="0" collapsed="false">
      <c r="A702" s="0" t="s">
        <v>102</v>
      </c>
      <c r="B702" s="1" t="s">
        <v>21</v>
      </c>
      <c r="C702" s="1" t="s">
        <v>72</v>
      </c>
      <c r="D702" s="0" t="n">
        <v>5160</v>
      </c>
      <c r="E702" s="0" t="n">
        <v>12280</v>
      </c>
      <c r="F702" s="0" t="n">
        <f aca="false">D702*E702</f>
        <v>63364800</v>
      </c>
      <c r="G702" s="0" t="n">
        <f aca="false">INDEX(마스터!$E:$E,MATCH(C702,마스터!$A:$A,0))</f>
        <v>5920</v>
      </c>
      <c r="H702" s="0" t="n">
        <f aca="false">D702*G702</f>
        <v>30547200</v>
      </c>
    </row>
    <row r="703" customFormat="false" ht="15" hidden="false" customHeight="false" outlineLevel="0" collapsed="false">
      <c r="A703" s="0" t="s">
        <v>102</v>
      </c>
      <c r="B703" s="1" t="s">
        <v>21</v>
      </c>
      <c r="C703" s="1" t="s">
        <v>36</v>
      </c>
      <c r="D703" s="0" t="n">
        <v>4550</v>
      </c>
      <c r="E703" s="0" t="n">
        <v>10170</v>
      </c>
      <c r="F703" s="0" t="n">
        <f aca="false">D703*E703</f>
        <v>46273500</v>
      </c>
      <c r="G703" s="0" t="n">
        <f aca="false">INDEX(마스터!$E:$E,MATCH(C703,마스터!$A:$A,0))</f>
        <v>4540</v>
      </c>
      <c r="H703" s="0" t="n">
        <f aca="false">D703*G703</f>
        <v>20657000</v>
      </c>
    </row>
    <row r="704" customFormat="false" ht="15" hidden="false" customHeight="false" outlineLevel="0" collapsed="false">
      <c r="A704" s="0" t="s">
        <v>102</v>
      </c>
      <c r="B704" s="1" t="s">
        <v>21</v>
      </c>
      <c r="C704" s="1" t="s">
        <v>67</v>
      </c>
      <c r="D704" s="0" t="n">
        <v>3850</v>
      </c>
      <c r="E704" s="0" t="n">
        <v>9820</v>
      </c>
      <c r="F704" s="0" t="n">
        <f aca="false">D704*E704</f>
        <v>37807000</v>
      </c>
      <c r="G704" s="0" t="n">
        <f aca="false">INDEX(마스터!$E:$E,MATCH(C704,마스터!$A:$A,0))</f>
        <v>4360</v>
      </c>
      <c r="H704" s="0" t="n">
        <f aca="false">D704*G704</f>
        <v>16786000</v>
      </c>
    </row>
    <row r="705" customFormat="false" ht="15" hidden="false" customHeight="false" outlineLevel="0" collapsed="false">
      <c r="A705" s="0" t="s">
        <v>102</v>
      </c>
      <c r="B705" s="1" t="s">
        <v>22</v>
      </c>
      <c r="C705" s="1" t="s">
        <v>42</v>
      </c>
      <c r="D705" s="0" t="n">
        <v>5930</v>
      </c>
      <c r="E705" s="0" t="n">
        <v>13360</v>
      </c>
      <c r="F705" s="0" t="n">
        <f aca="false">D705*E705</f>
        <v>79224800</v>
      </c>
      <c r="G705" s="0" t="n">
        <f aca="false">INDEX(마스터!$E:$E,MATCH(C705,마스터!$A:$A,0))</f>
        <v>6730</v>
      </c>
      <c r="H705" s="0" t="n">
        <f aca="false">D705*G705</f>
        <v>39908900</v>
      </c>
    </row>
    <row r="706" customFormat="false" ht="15" hidden="false" customHeight="false" outlineLevel="0" collapsed="false">
      <c r="A706" s="0" t="s">
        <v>102</v>
      </c>
      <c r="B706" s="1" t="s">
        <v>22</v>
      </c>
      <c r="C706" s="1" t="s">
        <v>72</v>
      </c>
      <c r="D706" s="0" t="n">
        <v>5330</v>
      </c>
      <c r="E706" s="0" t="n">
        <v>12310</v>
      </c>
      <c r="F706" s="0" t="n">
        <f aca="false">D706*E706</f>
        <v>65612300</v>
      </c>
      <c r="G706" s="0" t="n">
        <f aca="false">INDEX(마스터!$E:$E,MATCH(C706,마스터!$A:$A,0))</f>
        <v>5920</v>
      </c>
      <c r="H706" s="0" t="n">
        <f aca="false">D706*G706</f>
        <v>31553600</v>
      </c>
    </row>
    <row r="707" customFormat="false" ht="15" hidden="false" customHeight="false" outlineLevel="0" collapsed="false">
      <c r="A707" s="0" t="s">
        <v>102</v>
      </c>
      <c r="B707" s="1" t="s">
        <v>23</v>
      </c>
      <c r="C707" s="1" t="s">
        <v>48</v>
      </c>
      <c r="D707" s="0" t="n">
        <v>5570</v>
      </c>
      <c r="E707" s="0" t="n">
        <v>12930</v>
      </c>
      <c r="F707" s="0" t="n">
        <f aca="false">D707*E707</f>
        <v>72020100</v>
      </c>
      <c r="G707" s="0" t="n">
        <f aca="false">INDEX(마스터!$E:$E,MATCH(C707,마스터!$A:$A,0))</f>
        <v>6440</v>
      </c>
      <c r="H707" s="0" t="n">
        <f aca="false">D707*G707</f>
        <v>35870800</v>
      </c>
    </row>
    <row r="708" customFormat="false" ht="15" hidden="false" customHeight="false" outlineLevel="0" collapsed="false">
      <c r="A708" s="0" t="s">
        <v>102</v>
      </c>
      <c r="B708" s="1" t="s">
        <v>23</v>
      </c>
      <c r="C708" s="1" t="s">
        <v>55</v>
      </c>
      <c r="D708" s="0" t="n">
        <v>4410</v>
      </c>
      <c r="E708" s="0" t="n">
        <v>12930</v>
      </c>
      <c r="F708" s="0" t="n">
        <f aca="false">D708*E708</f>
        <v>57021300</v>
      </c>
      <c r="G708" s="0" t="n">
        <f aca="false">INDEX(마스터!$E:$E,MATCH(C708,마스터!$A:$A,0))</f>
        <v>6040</v>
      </c>
      <c r="H708" s="0" t="n">
        <f aca="false">D708*G708</f>
        <v>26636400</v>
      </c>
    </row>
    <row r="709" customFormat="false" ht="15" hidden="false" customHeight="false" outlineLevel="0" collapsed="false">
      <c r="A709" s="0" t="s">
        <v>102</v>
      </c>
      <c r="B709" s="1" t="s">
        <v>25</v>
      </c>
      <c r="C709" s="1" t="s">
        <v>37</v>
      </c>
      <c r="D709" s="0" t="n">
        <v>4930</v>
      </c>
      <c r="E709" s="0" t="n">
        <v>10490</v>
      </c>
      <c r="F709" s="0" t="n">
        <f aca="false">D709*E709</f>
        <v>51715700</v>
      </c>
      <c r="G709" s="0" t="n">
        <f aca="false">INDEX(마스터!$E:$E,MATCH(C709,마스터!$A:$A,0))</f>
        <v>4900</v>
      </c>
      <c r="H709" s="0" t="n">
        <f aca="false">D709*G709</f>
        <v>24157000</v>
      </c>
    </row>
    <row r="710" customFormat="false" ht="15" hidden="false" customHeight="false" outlineLevel="0" collapsed="false">
      <c r="A710" s="0" t="s">
        <v>102</v>
      </c>
      <c r="B710" s="1" t="s">
        <v>25</v>
      </c>
      <c r="C710" s="1" t="s">
        <v>90</v>
      </c>
      <c r="D710" s="0" t="n">
        <v>3260</v>
      </c>
      <c r="E710" s="0" t="n">
        <v>11540</v>
      </c>
      <c r="F710" s="0" t="n">
        <f aca="false">D710*E710</f>
        <v>37620400</v>
      </c>
      <c r="G710" s="0" t="n">
        <f aca="false">INDEX(마스터!$E:$E,MATCH(C710,마스터!$A:$A,0))</f>
        <v>5290</v>
      </c>
      <c r="H710" s="0" t="n">
        <f aca="false">D710*G710</f>
        <v>17245400</v>
      </c>
    </row>
    <row r="711" customFormat="false" ht="15" hidden="false" customHeight="false" outlineLevel="0" collapsed="false">
      <c r="A711" s="0" t="s">
        <v>102</v>
      </c>
      <c r="B711" s="1" t="s">
        <v>24</v>
      </c>
      <c r="C711" s="1" t="s">
        <v>55</v>
      </c>
      <c r="D711" s="0" t="n">
        <v>4420</v>
      </c>
      <c r="E711" s="0" t="n">
        <v>12970</v>
      </c>
      <c r="F711" s="0" t="n">
        <f aca="false">D711*E711</f>
        <v>57327400</v>
      </c>
      <c r="G711" s="0" t="n">
        <f aca="false">INDEX(마스터!$E:$E,MATCH(C711,마스터!$A:$A,0))</f>
        <v>6040</v>
      </c>
      <c r="H711" s="0" t="n">
        <f aca="false">D711*G711</f>
        <v>26696800</v>
      </c>
    </row>
    <row r="712" customFormat="false" ht="15" hidden="false" customHeight="false" outlineLevel="0" collapsed="false">
      <c r="A712" s="0" t="s">
        <v>102</v>
      </c>
      <c r="B712" s="1" t="s">
        <v>24</v>
      </c>
      <c r="C712" s="1" t="s">
        <v>47</v>
      </c>
      <c r="D712" s="0" t="n">
        <v>3760</v>
      </c>
      <c r="E712" s="0" t="n">
        <v>9110</v>
      </c>
      <c r="F712" s="0" t="n">
        <f aca="false">D712*E712</f>
        <v>34253600</v>
      </c>
      <c r="G712" s="0" t="n">
        <f aca="false">INDEX(마스터!$E:$E,MATCH(C712,마스터!$A:$A,0))</f>
        <v>4170</v>
      </c>
      <c r="H712" s="0" t="n">
        <f aca="false">D712*G712</f>
        <v>15679200</v>
      </c>
    </row>
    <row r="713" customFormat="false" ht="15" hidden="false" customHeight="false" outlineLevel="0" collapsed="false">
      <c r="A713" s="0" t="s">
        <v>103</v>
      </c>
      <c r="B713" s="1" t="s">
        <v>14</v>
      </c>
      <c r="C713" s="1" t="s">
        <v>41</v>
      </c>
      <c r="D713" s="0" t="n">
        <v>2070</v>
      </c>
      <c r="E713" s="0" t="n">
        <v>10970</v>
      </c>
      <c r="F713" s="0" t="n">
        <f aca="false">D713*E713</f>
        <v>22707900</v>
      </c>
      <c r="G713" s="0" t="n">
        <f aca="false">INDEX(마스터!$E:$E,MATCH(C713,마스터!$A:$A,0))</f>
        <v>5480</v>
      </c>
      <c r="H713" s="0" t="n">
        <f aca="false">D713*G713</f>
        <v>11343600</v>
      </c>
    </row>
    <row r="714" customFormat="false" ht="15" hidden="false" customHeight="false" outlineLevel="0" collapsed="false">
      <c r="A714" s="0" t="s">
        <v>103</v>
      </c>
      <c r="B714" s="1" t="s">
        <v>14</v>
      </c>
      <c r="C714" s="1" t="s">
        <v>33</v>
      </c>
      <c r="D714" s="0" t="n">
        <v>3740</v>
      </c>
      <c r="E714" s="0" t="n">
        <v>12260</v>
      </c>
      <c r="F714" s="0" t="n">
        <f aca="false">D714*E714</f>
        <v>45852400</v>
      </c>
      <c r="G714" s="0" t="n">
        <f aca="false">INDEX(마스터!$E:$E,MATCH(C714,마스터!$A:$A,0))</f>
        <v>6790</v>
      </c>
      <c r="H714" s="0" t="n">
        <f aca="false">D714*G714</f>
        <v>25394600</v>
      </c>
    </row>
    <row r="715" customFormat="false" ht="15" hidden="false" customHeight="false" outlineLevel="0" collapsed="false">
      <c r="A715" s="0" t="s">
        <v>103</v>
      </c>
      <c r="B715" s="1" t="s">
        <v>14</v>
      </c>
      <c r="C715" s="1" t="s">
        <v>60</v>
      </c>
      <c r="D715" s="0" t="n">
        <v>7850</v>
      </c>
      <c r="E715" s="0" t="n">
        <v>12580</v>
      </c>
      <c r="F715" s="0" t="n">
        <f aca="false">D715*E715</f>
        <v>98753000</v>
      </c>
      <c r="G715" s="0" t="n">
        <f aca="false">INDEX(마스터!$E:$E,MATCH(C715,마스터!$A:$A,0))</f>
        <v>6980</v>
      </c>
      <c r="H715" s="0" t="n">
        <f aca="false">D715*G715</f>
        <v>54793000</v>
      </c>
    </row>
    <row r="716" customFormat="false" ht="15" hidden="false" customHeight="false" outlineLevel="0" collapsed="false">
      <c r="A716" s="0" t="s">
        <v>103</v>
      </c>
      <c r="B716" s="1" t="s">
        <v>14</v>
      </c>
      <c r="C716" s="1" t="s">
        <v>46</v>
      </c>
      <c r="D716" s="0" t="n">
        <v>3380</v>
      </c>
      <c r="E716" s="0" t="n">
        <v>13230</v>
      </c>
      <c r="F716" s="0" t="n">
        <f aca="false">D716*E716</f>
        <v>44717400</v>
      </c>
      <c r="G716" s="0" t="n">
        <f aca="false">INDEX(마스터!$E:$E,MATCH(C716,마스터!$A:$A,0))</f>
        <v>6910</v>
      </c>
      <c r="H716" s="0" t="n">
        <f aca="false">D716*G716</f>
        <v>23355800</v>
      </c>
    </row>
    <row r="717" customFormat="false" ht="15" hidden="false" customHeight="false" outlineLevel="0" collapsed="false">
      <c r="A717" s="0" t="s">
        <v>103</v>
      </c>
      <c r="B717" s="1" t="s">
        <v>14</v>
      </c>
      <c r="C717" s="1" t="s">
        <v>55</v>
      </c>
      <c r="D717" s="0" t="n">
        <v>4670</v>
      </c>
      <c r="E717" s="0" t="n">
        <v>11940</v>
      </c>
      <c r="F717" s="0" t="n">
        <f aca="false">D717*E717</f>
        <v>55759800</v>
      </c>
      <c r="G717" s="0" t="n">
        <f aca="false">INDEX(마스터!$E:$E,MATCH(C717,마스터!$A:$A,0))</f>
        <v>6040</v>
      </c>
      <c r="H717" s="0" t="n">
        <f aca="false">D717*G717</f>
        <v>28206800</v>
      </c>
    </row>
    <row r="718" customFormat="false" ht="15" hidden="false" customHeight="false" outlineLevel="0" collapsed="false">
      <c r="A718" s="0" t="s">
        <v>103</v>
      </c>
      <c r="B718" s="1" t="s">
        <v>14</v>
      </c>
      <c r="C718" s="1" t="s">
        <v>51</v>
      </c>
      <c r="D718" s="0" t="n">
        <v>4300</v>
      </c>
      <c r="E718" s="0" t="n">
        <v>13230</v>
      </c>
      <c r="F718" s="0" t="n">
        <f aca="false">D718*E718</f>
        <v>56889000</v>
      </c>
      <c r="G718" s="0" t="n">
        <f aca="false">INDEX(마스터!$E:$E,MATCH(C718,마스터!$A:$A,0))</f>
        <v>7480</v>
      </c>
      <c r="H718" s="0" t="n">
        <f aca="false">D718*G718</f>
        <v>32164000</v>
      </c>
    </row>
    <row r="719" customFormat="false" ht="15" hidden="false" customHeight="false" outlineLevel="0" collapsed="false">
      <c r="A719" s="0" t="s">
        <v>103</v>
      </c>
      <c r="B719" s="1" t="s">
        <v>14</v>
      </c>
      <c r="C719" s="1" t="s">
        <v>88</v>
      </c>
      <c r="D719" s="0" t="n">
        <v>3300</v>
      </c>
      <c r="E719" s="0" t="n">
        <v>10970</v>
      </c>
      <c r="F719" s="0" t="n">
        <f aca="false">D719*E719</f>
        <v>36201000</v>
      </c>
      <c r="G719" s="0" t="n">
        <f aca="false">INDEX(마스터!$E:$E,MATCH(C719,마스터!$A:$A,0))</f>
        <v>5930</v>
      </c>
      <c r="H719" s="0" t="n">
        <f aca="false">D719*G719</f>
        <v>19569000</v>
      </c>
    </row>
    <row r="720" customFormat="false" ht="15" hidden="false" customHeight="false" outlineLevel="0" collapsed="false">
      <c r="A720" s="0" t="s">
        <v>103</v>
      </c>
      <c r="B720" s="1" t="s">
        <v>15</v>
      </c>
      <c r="C720" s="1" t="s">
        <v>45</v>
      </c>
      <c r="D720" s="0" t="n">
        <v>4940</v>
      </c>
      <c r="E720" s="0" t="n">
        <v>12030</v>
      </c>
      <c r="F720" s="0" t="n">
        <f aca="false">D720*E720</f>
        <v>59428200</v>
      </c>
      <c r="G720" s="0" t="n">
        <f aca="false">INDEX(마스터!$E:$E,MATCH(C720,마스터!$A:$A,0))</f>
        <v>6110</v>
      </c>
      <c r="H720" s="0" t="n">
        <f aca="false">D720*G720</f>
        <v>30183400</v>
      </c>
    </row>
    <row r="721" customFormat="false" ht="15" hidden="false" customHeight="false" outlineLevel="0" collapsed="false">
      <c r="A721" s="0" t="s">
        <v>103</v>
      </c>
      <c r="B721" s="1" t="s">
        <v>15</v>
      </c>
      <c r="C721" s="1" t="s">
        <v>41</v>
      </c>
      <c r="D721" s="0" t="n">
        <v>1890</v>
      </c>
      <c r="E721" s="0" t="n">
        <v>11060</v>
      </c>
      <c r="F721" s="0" t="n">
        <f aca="false">D721*E721</f>
        <v>20903400</v>
      </c>
      <c r="G721" s="0" t="n">
        <f aca="false">INDEX(마스터!$E:$E,MATCH(C721,마스터!$A:$A,0))</f>
        <v>5480</v>
      </c>
      <c r="H721" s="0" t="n">
        <f aca="false">D721*G721</f>
        <v>10357200</v>
      </c>
    </row>
    <row r="722" customFormat="false" ht="15" hidden="false" customHeight="false" outlineLevel="0" collapsed="false">
      <c r="A722" s="0" t="s">
        <v>103</v>
      </c>
      <c r="B722" s="1" t="s">
        <v>15</v>
      </c>
      <c r="C722" s="1" t="s">
        <v>60</v>
      </c>
      <c r="D722" s="0" t="n">
        <v>7060</v>
      </c>
      <c r="E722" s="0" t="n">
        <v>12680</v>
      </c>
      <c r="F722" s="0" t="n">
        <f aca="false">D722*E722</f>
        <v>89520800</v>
      </c>
      <c r="G722" s="0" t="n">
        <f aca="false">INDEX(마스터!$E:$E,MATCH(C722,마스터!$A:$A,0))</f>
        <v>6980</v>
      </c>
      <c r="H722" s="0" t="n">
        <f aca="false">D722*G722</f>
        <v>49278800</v>
      </c>
    </row>
    <row r="723" customFormat="false" ht="15" hidden="false" customHeight="false" outlineLevel="0" collapsed="false">
      <c r="A723" s="0" t="s">
        <v>103</v>
      </c>
      <c r="B723" s="1" t="s">
        <v>15</v>
      </c>
      <c r="C723" s="1" t="s">
        <v>54</v>
      </c>
      <c r="D723" s="0" t="n">
        <v>3680</v>
      </c>
      <c r="E723" s="0" t="n">
        <v>12360</v>
      </c>
      <c r="F723" s="0" t="n">
        <f aca="false">D723*E723</f>
        <v>45484800</v>
      </c>
      <c r="G723" s="0" t="n">
        <f aca="false">INDEX(마스터!$E:$E,MATCH(C723,마스터!$A:$A,0))</f>
        <v>6790</v>
      </c>
      <c r="H723" s="0" t="n">
        <f aca="false">D723*G723</f>
        <v>24987200</v>
      </c>
    </row>
    <row r="724" customFormat="false" ht="15" hidden="false" customHeight="false" outlineLevel="0" collapsed="false">
      <c r="A724" s="0" t="s">
        <v>103</v>
      </c>
      <c r="B724" s="1" t="s">
        <v>15</v>
      </c>
      <c r="C724" s="1" t="s">
        <v>42</v>
      </c>
      <c r="D724" s="0" t="n">
        <v>4510</v>
      </c>
      <c r="E724" s="0" t="n">
        <v>12360</v>
      </c>
      <c r="F724" s="0" t="n">
        <f aca="false">D724*E724</f>
        <v>55743600</v>
      </c>
      <c r="G724" s="0" t="n">
        <f aca="false">INDEX(마스터!$E:$E,MATCH(C724,마스터!$A:$A,0))</f>
        <v>6730</v>
      </c>
      <c r="H724" s="0" t="n">
        <f aca="false">D724*G724</f>
        <v>30352300</v>
      </c>
    </row>
    <row r="725" customFormat="false" ht="15" hidden="false" customHeight="false" outlineLevel="0" collapsed="false">
      <c r="A725" s="0" t="s">
        <v>103</v>
      </c>
      <c r="B725" s="1" t="s">
        <v>15</v>
      </c>
      <c r="C725" s="1" t="s">
        <v>81</v>
      </c>
      <c r="D725" s="0" t="n">
        <v>3040</v>
      </c>
      <c r="E725" s="0" t="n">
        <v>11710</v>
      </c>
      <c r="F725" s="0" t="n">
        <f aca="false">D725*E725</f>
        <v>35598400</v>
      </c>
      <c r="G725" s="0" t="n">
        <f aca="false">INDEX(마스터!$E:$E,MATCH(C725,마스터!$A:$A,0))</f>
        <v>6220</v>
      </c>
      <c r="H725" s="0" t="n">
        <f aca="false">D725*G725</f>
        <v>18908800</v>
      </c>
    </row>
    <row r="726" customFormat="false" ht="15" hidden="false" customHeight="false" outlineLevel="0" collapsed="false">
      <c r="A726" s="0" t="s">
        <v>103</v>
      </c>
      <c r="B726" s="1" t="s">
        <v>15</v>
      </c>
      <c r="C726" s="1" t="s">
        <v>75</v>
      </c>
      <c r="D726" s="0" t="n">
        <v>2670</v>
      </c>
      <c r="E726" s="0" t="n">
        <v>11060</v>
      </c>
      <c r="F726" s="0" t="n">
        <f aca="false">D726*E726</f>
        <v>29530200</v>
      </c>
      <c r="G726" s="0" t="n">
        <f aca="false">INDEX(마스터!$E:$E,MATCH(C726,마스터!$A:$A,0))</f>
        <v>5440</v>
      </c>
      <c r="H726" s="0" t="n">
        <f aca="false">D726*G726</f>
        <v>14524800</v>
      </c>
    </row>
    <row r="727" customFormat="false" ht="15" hidden="false" customHeight="false" outlineLevel="0" collapsed="false">
      <c r="A727" s="0" t="s">
        <v>103</v>
      </c>
      <c r="B727" s="1" t="s">
        <v>16</v>
      </c>
      <c r="C727" s="1" t="s">
        <v>41</v>
      </c>
      <c r="D727" s="0" t="n">
        <v>1660</v>
      </c>
      <c r="E727" s="0" t="n">
        <v>11930</v>
      </c>
      <c r="F727" s="0" t="n">
        <f aca="false">D727*E727</f>
        <v>19803800</v>
      </c>
      <c r="G727" s="0" t="n">
        <f aca="false">INDEX(마스터!$E:$E,MATCH(C727,마스터!$A:$A,0))</f>
        <v>5480</v>
      </c>
      <c r="H727" s="0" t="n">
        <f aca="false">D727*G727</f>
        <v>9096800</v>
      </c>
    </row>
    <row r="728" customFormat="false" ht="15" hidden="false" customHeight="false" outlineLevel="0" collapsed="false">
      <c r="A728" s="0" t="s">
        <v>103</v>
      </c>
      <c r="B728" s="1" t="s">
        <v>16</v>
      </c>
      <c r="C728" s="1" t="s">
        <v>63</v>
      </c>
      <c r="D728" s="0" t="n">
        <v>3840</v>
      </c>
      <c r="E728" s="0" t="n">
        <v>11580</v>
      </c>
      <c r="F728" s="0" t="n">
        <f aca="false">D728*E728</f>
        <v>44467200</v>
      </c>
      <c r="G728" s="0" t="n">
        <f aca="false">INDEX(마스터!$E:$E,MATCH(C728,마스터!$A:$A,0))</f>
        <v>5290</v>
      </c>
      <c r="H728" s="0" t="n">
        <f aca="false">D728*G728</f>
        <v>20313600</v>
      </c>
    </row>
    <row r="729" customFormat="false" ht="15" hidden="false" customHeight="false" outlineLevel="0" collapsed="false">
      <c r="A729" s="0" t="s">
        <v>103</v>
      </c>
      <c r="B729" s="1" t="s">
        <v>16</v>
      </c>
      <c r="C729" s="1" t="s">
        <v>33</v>
      </c>
      <c r="D729" s="0" t="n">
        <v>3510</v>
      </c>
      <c r="E729" s="0" t="n">
        <v>13330</v>
      </c>
      <c r="F729" s="0" t="n">
        <f aca="false">D729*E729</f>
        <v>46788300</v>
      </c>
      <c r="G729" s="0" t="n">
        <f aca="false">INDEX(마스터!$E:$E,MATCH(C729,마스터!$A:$A,0))</f>
        <v>6790</v>
      </c>
      <c r="H729" s="0" t="n">
        <f aca="false">D729*G729</f>
        <v>23832900</v>
      </c>
    </row>
    <row r="730" customFormat="false" ht="15" hidden="false" customHeight="false" outlineLevel="0" collapsed="false">
      <c r="A730" s="0" t="s">
        <v>103</v>
      </c>
      <c r="B730" s="1" t="s">
        <v>16</v>
      </c>
      <c r="C730" s="1" t="s">
        <v>60</v>
      </c>
      <c r="D730" s="0" t="n">
        <v>5610</v>
      </c>
      <c r="E730" s="0" t="n">
        <v>13680</v>
      </c>
      <c r="F730" s="0" t="n">
        <f aca="false">D730*E730</f>
        <v>76744800</v>
      </c>
      <c r="G730" s="0" t="n">
        <f aca="false">INDEX(마스터!$E:$E,MATCH(C730,마스터!$A:$A,0))</f>
        <v>6980</v>
      </c>
      <c r="H730" s="0" t="n">
        <f aca="false">D730*G730</f>
        <v>39157800</v>
      </c>
    </row>
    <row r="731" customFormat="false" ht="15" hidden="false" customHeight="false" outlineLevel="0" collapsed="false">
      <c r="A731" s="0" t="s">
        <v>103</v>
      </c>
      <c r="B731" s="1" t="s">
        <v>16</v>
      </c>
      <c r="C731" s="1" t="s">
        <v>55</v>
      </c>
      <c r="D731" s="0" t="n">
        <v>3430</v>
      </c>
      <c r="E731" s="0" t="n">
        <v>12980</v>
      </c>
      <c r="F731" s="0" t="n">
        <f aca="false">D731*E731</f>
        <v>44521400</v>
      </c>
      <c r="G731" s="0" t="n">
        <f aca="false">INDEX(마스터!$E:$E,MATCH(C731,마스터!$A:$A,0))</f>
        <v>6040</v>
      </c>
      <c r="H731" s="0" t="n">
        <f aca="false">D731*G731</f>
        <v>20717200</v>
      </c>
    </row>
    <row r="732" customFormat="false" ht="15" hidden="false" customHeight="false" outlineLevel="0" collapsed="false">
      <c r="A732" s="0" t="s">
        <v>103</v>
      </c>
      <c r="B732" s="1" t="s">
        <v>16</v>
      </c>
      <c r="C732" s="1" t="s">
        <v>66</v>
      </c>
      <c r="D732" s="0" t="n">
        <v>3630</v>
      </c>
      <c r="E732" s="0" t="n">
        <v>12980</v>
      </c>
      <c r="F732" s="0" t="n">
        <f aca="false">D732*E732</f>
        <v>47117400</v>
      </c>
      <c r="G732" s="0" t="n">
        <f aca="false">INDEX(마스터!$E:$E,MATCH(C732,마스터!$A:$A,0))</f>
        <v>6360</v>
      </c>
      <c r="H732" s="0" t="n">
        <f aca="false">D732*G732</f>
        <v>23086800</v>
      </c>
    </row>
    <row r="733" customFormat="false" ht="15" hidden="false" customHeight="false" outlineLevel="0" collapsed="false">
      <c r="A733" s="0" t="s">
        <v>103</v>
      </c>
      <c r="B733" s="1" t="s">
        <v>17</v>
      </c>
      <c r="C733" s="1" t="s">
        <v>45</v>
      </c>
      <c r="D733" s="0" t="n">
        <v>2540</v>
      </c>
      <c r="E733" s="0" t="n">
        <v>11930</v>
      </c>
      <c r="F733" s="0" t="n">
        <f aca="false">D733*E733</f>
        <v>30302200</v>
      </c>
      <c r="G733" s="0" t="n">
        <f aca="false">INDEX(마스터!$E:$E,MATCH(C733,마스터!$A:$A,0))</f>
        <v>6110</v>
      </c>
      <c r="H733" s="0" t="n">
        <f aca="false">D733*G733</f>
        <v>15519400</v>
      </c>
    </row>
    <row r="734" customFormat="false" ht="15" hidden="false" customHeight="false" outlineLevel="0" collapsed="false">
      <c r="A734" s="0" t="s">
        <v>103</v>
      </c>
      <c r="B734" s="1" t="s">
        <v>17</v>
      </c>
      <c r="C734" s="1" t="s">
        <v>61</v>
      </c>
      <c r="D734" s="0" t="n">
        <v>2810</v>
      </c>
      <c r="E734" s="0" t="n">
        <v>10000</v>
      </c>
      <c r="F734" s="0" t="n">
        <f aca="false">D734*E734</f>
        <v>28100000</v>
      </c>
      <c r="G734" s="0" t="n">
        <f aca="false">INDEX(마스터!$E:$E,MATCH(C734,마스터!$A:$A,0))</f>
        <v>5390</v>
      </c>
      <c r="H734" s="0" t="n">
        <f aca="false">D734*G734</f>
        <v>15145900</v>
      </c>
    </row>
    <row r="735" customFormat="false" ht="15" hidden="false" customHeight="false" outlineLevel="0" collapsed="false">
      <c r="A735" s="0" t="s">
        <v>103</v>
      </c>
      <c r="B735" s="1" t="s">
        <v>17</v>
      </c>
      <c r="C735" s="1" t="s">
        <v>41</v>
      </c>
      <c r="D735" s="0" t="n">
        <v>1170</v>
      </c>
      <c r="E735" s="0" t="n">
        <v>10960</v>
      </c>
      <c r="F735" s="0" t="n">
        <f aca="false">D735*E735</f>
        <v>12823200</v>
      </c>
      <c r="G735" s="0" t="n">
        <f aca="false">INDEX(마스터!$E:$E,MATCH(C735,마스터!$A:$A,0))</f>
        <v>5480</v>
      </c>
      <c r="H735" s="0" t="n">
        <f aca="false">D735*G735</f>
        <v>6411600</v>
      </c>
    </row>
    <row r="736" customFormat="false" ht="15" hidden="false" customHeight="false" outlineLevel="0" collapsed="false">
      <c r="A736" s="0" t="s">
        <v>103</v>
      </c>
      <c r="B736" s="1" t="s">
        <v>17</v>
      </c>
      <c r="C736" s="1" t="s">
        <v>69</v>
      </c>
      <c r="D736" s="0" t="n">
        <v>1740</v>
      </c>
      <c r="E736" s="0" t="n">
        <v>11610</v>
      </c>
      <c r="F736" s="0" t="n">
        <f aca="false">D736*E736</f>
        <v>20201400</v>
      </c>
      <c r="G736" s="0" t="n">
        <f aca="false">INDEX(마스터!$E:$E,MATCH(C736,마스터!$A:$A,0))</f>
        <v>6140</v>
      </c>
      <c r="H736" s="0" t="n">
        <f aca="false">D736*G736</f>
        <v>10683600</v>
      </c>
    </row>
    <row r="737" customFormat="false" ht="15" hidden="false" customHeight="false" outlineLevel="0" collapsed="false">
      <c r="A737" s="0" t="s">
        <v>103</v>
      </c>
      <c r="B737" s="1" t="s">
        <v>17</v>
      </c>
      <c r="C737" s="1" t="s">
        <v>33</v>
      </c>
      <c r="D737" s="0" t="n">
        <v>2770</v>
      </c>
      <c r="E737" s="0" t="n">
        <v>12250</v>
      </c>
      <c r="F737" s="0" t="n">
        <f aca="false">D737*E737</f>
        <v>33932500</v>
      </c>
      <c r="G737" s="0" t="n">
        <f aca="false">INDEX(마스터!$E:$E,MATCH(C737,마스터!$A:$A,0))</f>
        <v>6790</v>
      </c>
      <c r="H737" s="0" t="n">
        <f aca="false">D737*G737</f>
        <v>18808300</v>
      </c>
    </row>
    <row r="738" customFormat="false" ht="15" hidden="false" customHeight="false" outlineLevel="0" collapsed="false">
      <c r="A738" s="0" t="s">
        <v>103</v>
      </c>
      <c r="B738" s="1" t="s">
        <v>17</v>
      </c>
      <c r="C738" s="1" t="s">
        <v>60</v>
      </c>
      <c r="D738" s="0" t="n">
        <v>4260</v>
      </c>
      <c r="E738" s="0" t="n">
        <v>12580</v>
      </c>
      <c r="F738" s="0" t="n">
        <f aca="false">D738*E738</f>
        <v>53590800</v>
      </c>
      <c r="G738" s="0" t="n">
        <f aca="false">INDEX(마스터!$E:$E,MATCH(C738,마스터!$A:$A,0))</f>
        <v>6980</v>
      </c>
      <c r="H738" s="0" t="n">
        <f aca="false">D738*G738</f>
        <v>29734800</v>
      </c>
    </row>
    <row r="739" customFormat="false" ht="15" hidden="false" customHeight="false" outlineLevel="0" collapsed="false">
      <c r="A739" s="0" t="s">
        <v>103</v>
      </c>
      <c r="B739" s="1" t="s">
        <v>17</v>
      </c>
      <c r="C739" s="1" t="s">
        <v>34</v>
      </c>
      <c r="D739" s="0" t="n">
        <v>2360</v>
      </c>
      <c r="E739" s="0" t="n">
        <v>11930</v>
      </c>
      <c r="F739" s="0" t="n">
        <f aca="false">D739*E739</f>
        <v>28154800</v>
      </c>
      <c r="G739" s="0" t="n">
        <f aca="false">INDEX(마스터!$E:$E,MATCH(C739,마스터!$A:$A,0))</f>
        <v>6630</v>
      </c>
      <c r="H739" s="0" t="n">
        <f aca="false">D739*G739</f>
        <v>15646800</v>
      </c>
    </row>
    <row r="740" customFormat="false" ht="15" hidden="false" customHeight="false" outlineLevel="0" collapsed="false">
      <c r="A740" s="0" t="s">
        <v>103</v>
      </c>
      <c r="B740" s="1" t="s">
        <v>18</v>
      </c>
      <c r="C740" s="1" t="s">
        <v>61</v>
      </c>
      <c r="D740" s="0" t="n">
        <v>4260</v>
      </c>
      <c r="E740" s="0" t="n">
        <v>10830</v>
      </c>
      <c r="F740" s="0" t="n">
        <f aca="false">D740*E740</f>
        <v>46135800</v>
      </c>
      <c r="G740" s="0" t="n">
        <f aca="false">INDEX(마스터!$E:$E,MATCH(C740,마스터!$A:$A,0))</f>
        <v>5390</v>
      </c>
      <c r="H740" s="0" t="n">
        <f aca="false">D740*G740</f>
        <v>22961400</v>
      </c>
    </row>
    <row r="741" customFormat="false" ht="15" hidden="false" customHeight="false" outlineLevel="0" collapsed="false">
      <c r="A741" s="0" t="s">
        <v>103</v>
      </c>
      <c r="B741" s="1" t="s">
        <v>18</v>
      </c>
      <c r="C741" s="1" t="s">
        <v>58</v>
      </c>
      <c r="D741" s="0" t="n">
        <v>3650</v>
      </c>
      <c r="E741" s="0" t="n">
        <v>11870</v>
      </c>
      <c r="F741" s="0" t="n">
        <f aca="false">D741*E741</f>
        <v>43325500</v>
      </c>
      <c r="G741" s="0" t="n">
        <f aca="false">INDEX(마스터!$E:$E,MATCH(C741,마스터!$A:$A,0))</f>
        <v>5720</v>
      </c>
      <c r="H741" s="0" t="n">
        <f aca="false">D741*G741</f>
        <v>20878000</v>
      </c>
    </row>
    <row r="742" customFormat="false" ht="15" hidden="false" customHeight="false" outlineLevel="0" collapsed="false">
      <c r="A742" s="0" t="s">
        <v>103</v>
      </c>
      <c r="B742" s="1" t="s">
        <v>18</v>
      </c>
      <c r="C742" s="1" t="s">
        <v>53</v>
      </c>
      <c r="D742" s="0" t="n">
        <v>4110</v>
      </c>
      <c r="E742" s="0" t="n">
        <v>13620</v>
      </c>
      <c r="F742" s="0" t="n">
        <f aca="false">D742*E742</f>
        <v>55978200</v>
      </c>
      <c r="G742" s="0" t="n">
        <f aca="false">INDEX(마스터!$E:$E,MATCH(C742,마스터!$A:$A,0))</f>
        <v>6630</v>
      </c>
      <c r="H742" s="0" t="n">
        <f aca="false">D742*G742</f>
        <v>27249300</v>
      </c>
    </row>
    <row r="743" customFormat="false" ht="15" hidden="false" customHeight="false" outlineLevel="0" collapsed="false">
      <c r="A743" s="0" t="s">
        <v>103</v>
      </c>
      <c r="B743" s="1" t="s">
        <v>18</v>
      </c>
      <c r="C743" s="1" t="s">
        <v>42</v>
      </c>
      <c r="D743" s="0" t="n">
        <v>3370</v>
      </c>
      <c r="E743" s="0" t="n">
        <v>13270</v>
      </c>
      <c r="F743" s="0" t="n">
        <f aca="false">D743*E743</f>
        <v>44719900</v>
      </c>
      <c r="G743" s="0" t="n">
        <f aca="false">INDEX(마스터!$E:$E,MATCH(C743,마스터!$A:$A,0))</f>
        <v>6730</v>
      </c>
      <c r="H743" s="0" t="n">
        <f aca="false">D743*G743</f>
        <v>22680100</v>
      </c>
    </row>
    <row r="744" customFormat="false" ht="15" hidden="false" customHeight="false" outlineLevel="0" collapsed="false">
      <c r="A744" s="0" t="s">
        <v>103</v>
      </c>
      <c r="B744" s="1" t="s">
        <v>19</v>
      </c>
      <c r="C744" s="1" t="s">
        <v>45</v>
      </c>
      <c r="D744" s="0" t="n">
        <v>3030</v>
      </c>
      <c r="E744" s="0" t="n">
        <v>12000</v>
      </c>
      <c r="F744" s="0" t="n">
        <f aca="false">D744*E744</f>
        <v>36360000</v>
      </c>
      <c r="G744" s="0" t="n">
        <f aca="false">INDEX(마스터!$E:$E,MATCH(C744,마스터!$A:$A,0))</f>
        <v>6110</v>
      </c>
      <c r="H744" s="0" t="n">
        <f aca="false">D744*G744</f>
        <v>18513300</v>
      </c>
    </row>
    <row r="745" customFormat="false" ht="15" hidden="false" customHeight="false" outlineLevel="0" collapsed="false">
      <c r="A745" s="0" t="s">
        <v>103</v>
      </c>
      <c r="B745" s="1" t="s">
        <v>19</v>
      </c>
      <c r="C745" s="1" t="s">
        <v>38</v>
      </c>
      <c r="D745" s="0" t="n">
        <v>2850</v>
      </c>
      <c r="E745" s="0" t="n">
        <v>11350</v>
      </c>
      <c r="F745" s="0" t="n">
        <f aca="false">D745*E745</f>
        <v>32347500</v>
      </c>
      <c r="G745" s="0" t="n">
        <f aca="false">INDEX(마스터!$E:$E,MATCH(C745,마스터!$A:$A,0))</f>
        <v>5670</v>
      </c>
      <c r="H745" s="0" t="n">
        <f aca="false">D745*G745</f>
        <v>16159500</v>
      </c>
    </row>
    <row r="746" customFormat="false" ht="15" hidden="false" customHeight="false" outlineLevel="0" collapsed="false">
      <c r="A746" s="0" t="s">
        <v>103</v>
      </c>
      <c r="B746" s="1" t="s">
        <v>19</v>
      </c>
      <c r="C746" s="1" t="s">
        <v>41</v>
      </c>
      <c r="D746" s="0" t="n">
        <v>1260</v>
      </c>
      <c r="E746" s="0" t="n">
        <v>11030</v>
      </c>
      <c r="F746" s="0" t="n">
        <f aca="false">D746*E746</f>
        <v>13897800</v>
      </c>
      <c r="G746" s="0" t="n">
        <f aca="false">INDEX(마스터!$E:$E,MATCH(C746,마스터!$A:$A,0))</f>
        <v>5480</v>
      </c>
      <c r="H746" s="0" t="n">
        <f aca="false">D746*G746</f>
        <v>6904800</v>
      </c>
    </row>
    <row r="747" customFormat="false" ht="15" hidden="false" customHeight="false" outlineLevel="0" collapsed="false">
      <c r="A747" s="0" t="s">
        <v>103</v>
      </c>
      <c r="B747" s="1" t="s">
        <v>19</v>
      </c>
      <c r="C747" s="1" t="s">
        <v>65</v>
      </c>
      <c r="D747" s="0" t="n">
        <v>1930</v>
      </c>
      <c r="E747" s="0" t="n">
        <v>13300</v>
      </c>
      <c r="F747" s="0" t="n">
        <f aca="false">D747*E747</f>
        <v>25669000</v>
      </c>
      <c r="G747" s="0" t="n">
        <f aca="false">INDEX(마스터!$E:$E,MATCH(C747,마스터!$A:$A,0))</f>
        <v>6670</v>
      </c>
      <c r="H747" s="0" t="n">
        <f aca="false">D747*G747</f>
        <v>12873100</v>
      </c>
    </row>
    <row r="748" customFormat="false" ht="15" hidden="false" customHeight="false" outlineLevel="0" collapsed="false">
      <c r="A748" s="0" t="s">
        <v>103</v>
      </c>
      <c r="B748" s="1" t="s">
        <v>19</v>
      </c>
      <c r="C748" s="1" t="s">
        <v>48</v>
      </c>
      <c r="D748" s="0" t="n">
        <v>2440</v>
      </c>
      <c r="E748" s="0" t="n">
        <v>12000</v>
      </c>
      <c r="F748" s="0" t="n">
        <f aca="false">D748*E748</f>
        <v>29280000</v>
      </c>
      <c r="G748" s="0" t="n">
        <f aca="false">INDEX(마스터!$E:$E,MATCH(C748,마스터!$A:$A,0))</f>
        <v>6440</v>
      </c>
      <c r="H748" s="0" t="n">
        <f aca="false">D748*G748</f>
        <v>15713600</v>
      </c>
    </row>
    <row r="749" customFormat="false" ht="15" hidden="false" customHeight="false" outlineLevel="0" collapsed="false">
      <c r="A749" s="0" t="s">
        <v>103</v>
      </c>
      <c r="B749" s="1" t="s">
        <v>20</v>
      </c>
      <c r="C749" s="1" t="s">
        <v>32</v>
      </c>
      <c r="D749" s="0" t="n">
        <v>1820</v>
      </c>
      <c r="E749" s="0" t="n">
        <v>11970</v>
      </c>
      <c r="F749" s="0" t="n">
        <f aca="false">D749*E749</f>
        <v>21785400</v>
      </c>
      <c r="G749" s="0" t="n">
        <f aca="false">INDEX(마스터!$E:$E,MATCH(C749,마스터!$A:$A,0))</f>
        <v>5790</v>
      </c>
      <c r="H749" s="0" t="n">
        <f aca="false">D749*G749</f>
        <v>10537800</v>
      </c>
    </row>
    <row r="750" customFormat="false" ht="15" hidden="false" customHeight="false" outlineLevel="0" collapsed="false">
      <c r="A750" s="0" t="s">
        <v>103</v>
      </c>
      <c r="B750" s="1" t="s">
        <v>20</v>
      </c>
      <c r="C750" s="1" t="s">
        <v>61</v>
      </c>
      <c r="D750" s="0" t="n">
        <v>2490</v>
      </c>
      <c r="E750" s="0" t="n">
        <v>10920</v>
      </c>
      <c r="F750" s="0" t="n">
        <f aca="false">D750*E750</f>
        <v>27190800</v>
      </c>
      <c r="G750" s="0" t="n">
        <f aca="false">INDEX(마스터!$E:$E,MATCH(C750,마스터!$A:$A,0))</f>
        <v>5390</v>
      </c>
      <c r="H750" s="0" t="n">
        <f aca="false">D750*G750</f>
        <v>13421100</v>
      </c>
    </row>
    <row r="751" customFormat="false" ht="15" hidden="false" customHeight="false" outlineLevel="0" collapsed="false">
      <c r="A751" s="0" t="s">
        <v>103</v>
      </c>
      <c r="B751" s="1" t="s">
        <v>20</v>
      </c>
      <c r="C751" s="1" t="s">
        <v>38</v>
      </c>
      <c r="D751" s="0" t="n">
        <v>2290</v>
      </c>
      <c r="E751" s="0" t="n">
        <v>12320</v>
      </c>
      <c r="F751" s="0" t="n">
        <f aca="false">D751*E751</f>
        <v>28212800</v>
      </c>
      <c r="G751" s="0" t="n">
        <f aca="false">INDEX(마스터!$E:$E,MATCH(C751,마스터!$A:$A,0))</f>
        <v>5670</v>
      </c>
      <c r="H751" s="0" t="n">
        <f aca="false">D751*G751</f>
        <v>12984300</v>
      </c>
    </row>
    <row r="752" customFormat="false" ht="15" hidden="false" customHeight="false" outlineLevel="0" collapsed="false">
      <c r="A752" s="0" t="s">
        <v>103</v>
      </c>
      <c r="B752" s="1" t="s">
        <v>20</v>
      </c>
      <c r="C752" s="1" t="s">
        <v>47</v>
      </c>
      <c r="D752" s="0" t="n">
        <v>2600</v>
      </c>
      <c r="E752" s="0" t="n">
        <v>9150</v>
      </c>
      <c r="F752" s="0" t="n">
        <f aca="false">D752*E752</f>
        <v>23790000</v>
      </c>
      <c r="G752" s="0" t="n">
        <f aca="false">INDEX(마스터!$E:$E,MATCH(C752,마스터!$A:$A,0))</f>
        <v>4170</v>
      </c>
      <c r="H752" s="0" t="n">
        <f aca="false">D752*G752</f>
        <v>10842000</v>
      </c>
    </row>
    <row r="753" customFormat="false" ht="15" hidden="false" customHeight="false" outlineLevel="0" collapsed="false">
      <c r="A753" s="0" t="s">
        <v>103</v>
      </c>
      <c r="B753" s="1" t="s">
        <v>21</v>
      </c>
      <c r="C753" s="1" t="s">
        <v>37</v>
      </c>
      <c r="D753" s="0" t="n">
        <v>3650</v>
      </c>
      <c r="E753" s="0" t="n">
        <v>10520</v>
      </c>
      <c r="F753" s="0" t="n">
        <f aca="false">D753*E753</f>
        <v>38398000</v>
      </c>
      <c r="G753" s="0" t="n">
        <f aca="false">INDEX(마스터!$E:$E,MATCH(C753,마스터!$A:$A,0))</f>
        <v>4900</v>
      </c>
      <c r="H753" s="0" t="n">
        <f aca="false">D753*G753</f>
        <v>17885000</v>
      </c>
    </row>
    <row r="754" customFormat="false" ht="15" hidden="false" customHeight="false" outlineLevel="0" collapsed="false">
      <c r="A754" s="0" t="s">
        <v>103</v>
      </c>
      <c r="B754" s="1" t="s">
        <v>21</v>
      </c>
      <c r="C754" s="1" t="s">
        <v>48</v>
      </c>
      <c r="D754" s="0" t="n">
        <v>2500</v>
      </c>
      <c r="E754" s="0" t="n">
        <v>12970</v>
      </c>
      <c r="F754" s="0" t="n">
        <f aca="false">D754*E754</f>
        <v>32425000</v>
      </c>
      <c r="G754" s="0" t="n">
        <f aca="false">INDEX(마스터!$E:$E,MATCH(C754,마스터!$A:$A,0))</f>
        <v>6440</v>
      </c>
      <c r="H754" s="0" t="n">
        <f aca="false">D754*G754</f>
        <v>16100000</v>
      </c>
    </row>
    <row r="755" customFormat="false" ht="15" hidden="false" customHeight="false" outlineLevel="0" collapsed="false">
      <c r="A755" s="0" t="s">
        <v>103</v>
      </c>
      <c r="B755" s="1" t="s">
        <v>21</v>
      </c>
      <c r="C755" s="1" t="s">
        <v>57</v>
      </c>
      <c r="D755" s="0" t="n">
        <v>2720</v>
      </c>
      <c r="E755" s="0" t="n">
        <v>10520</v>
      </c>
      <c r="F755" s="0" t="n">
        <f aca="false">D755*E755</f>
        <v>28614400</v>
      </c>
      <c r="G755" s="0" t="n">
        <f aca="false">INDEX(마스터!$E:$E,MATCH(C755,마스터!$A:$A,0))</f>
        <v>4870</v>
      </c>
      <c r="H755" s="0" t="n">
        <f aca="false">D755*G755</f>
        <v>13246400</v>
      </c>
    </row>
    <row r="756" customFormat="false" ht="15" hidden="false" customHeight="false" outlineLevel="0" collapsed="false">
      <c r="A756" s="0" t="s">
        <v>103</v>
      </c>
      <c r="B756" s="1" t="s">
        <v>22</v>
      </c>
      <c r="C756" s="1" t="s">
        <v>65</v>
      </c>
      <c r="D756" s="0" t="n">
        <v>3850</v>
      </c>
      <c r="E756" s="0" t="n">
        <v>14400</v>
      </c>
      <c r="F756" s="0" t="n">
        <f aca="false">D756*E756</f>
        <v>55440000</v>
      </c>
      <c r="G756" s="0" t="n">
        <f aca="false">INDEX(마스터!$E:$E,MATCH(C756,마스터!$A:$A,0))</f>
        <v>6670</v>
      </c>
      <c r="H756" s="0" t="n">
        <f aca="false">D756*G756</f>
        <v>25679500</v>
      </c>
    </row>
    <row r="757" customFormat="false" ht="15" hidden="false" customHeight="false" outlineLevel="0" collapsed="false">
      <c r="A757" s="0" t="s">
        <v>103</v>
      </c>
      <c r="B757" s="1" t="s">
        <v>22</v>
      </c>
      <c r="C757" s="1" t="s">
        <v>36</v>
      </c>
      <c r="D757" s="0" t="n">
        <v>3510</v>
      </c>
      <c r="E757" s="0" t="n">
        <v>10180</v>
      </c>
      <c r="F757" s="0" t="n">
        <f aca="false">D757*E757</f>
        <v>35731800</v>
      </c>
      <c r="G757" s="0" t="n">
        <f aca="false">INDEX(마스터!$E:$E,MATCH(C757,마스터!$A:$A,0))</f>
        <v>4540</v>
      </c>
      <c r="H757" s="0" t="n">
        <f aca="false">D757*G757</f>
        <v>15935400</v>
      </c>
    </row>
    <row r="758" customFormat="false" ht="15" hidden="false" customHeight="false" outlineLevel="0" collapsed="false">
      <c r="A758" s="0" t="s">
        <v>103</v>
      </c>
      <c r="B758" s="1" t="s">
        <v>23</v>
      </c>
      <c r="C758" s="1" t="s">
        <v>86</v>
      </c>
      <c r="D758" s="0" t="n">
        <v>3170</v>
      </c>
      <c r="E758" s="0" t="n">
        <v>12900</v>
      </c>
      <c r="F758" s="0" t="n">
        <f aca="false">D758*E758</f>
        <v>40893000</v>
      </c>
      <c r="G758" s="0" t="n">
        <f aca="false">INDEX(마스터!$E:$E,MATCH(C758,마스터!$A:$A,0))</f>
        <v>6430</v>
      </c>
      <c r="H758" s="0" t="n">
        <f aca="false">D758*G758</f>
        <v>20383100</v>
      </c>
    </row>
    <row r="759" customFormat="false" ht="15" hidden="false" customHeight="false" outlineLevel="0" collapsed="false">
      <c r="A759" s="0" t="s">
        <v>103</v>
      </c>
      <c r="B759" s="1" t="s">
        <v>23</v>
      </c>
      <c r="C759" s="1" t="s">
        <v>59</v>
      </c>
      <c r="D759" s="0" t="n">
        <v>3360</v>
      </c>
      <c r="E759" s="0" t="n">
        <v>13950</v>
      </c>
      <c r="F759" s="0" t="n">
        <f aca="false">D759*E759</f>
        <v>46872000</v>
      </c>
      <c r="G759" s="0" t="n">
        <f aca="false">INDEX(마스터!$E:$E,MATCH(C759,마스터!$A:$A,0))</f>
        <v>6520</v>
      </c>
      <c r="H759" s="0" t="n">
        <f aca="false">D759*G759</f>
        <v>21907200</v>
      </c>
    </row>
    <row r="760" customFormat="false" ht="15" hidden="false" customHeight="false" outlineLevel="0" collapsed="false">
      <c r="A760" s="0" t="s">
        <v>103</v>
      </c>
      <c r="B760" s="1" t="s">
        <v>25</v>
      </c>
      <c r="C760" s="1" t="s">
        <v>77</v>
      </c>
      <c r="D760" s="0" t="n">
        <v>3110</v>
      </c>
      <c r="E760" s="0" t="n">
        <v>11920</v>
      </c>
      <c r="F760" s="0" t="n">
        <f aca="false">D760*E760</f>
        <v>37071200</v>
      </c>
      <c r="G760" s="0" t="n">
        <f aca="false">INDEX(마스터!$E:$E,MATCH(C760,마스터!$A:$A,0))</f>
        <v>5380</v>
      </c>
      <c r="H760" s="0" t="n">
        <f aca="false">D760*G760</f>
        <v>16731800</v>
      </c>
    </row>
    <row r="761" customFormat="false" ht="15" hidden="false" customHeight="false" outlineLevel="0" collapsed="false">
      <c r="A761" s="0" t="s">
        <v>103</v>
      </c>
      <c r="B761" s="1" t="s">
        <v>25</v>
      </c>
      <c r="C761" s="1" t="s">
        <v>90</v>
      </c>
      <c r="D761" s="0" t="n">
        <v>2250</v>
      </c>
      <c r="E761" s="0" t="n">
        <v>11570</v>
      </c>
      <c r="F761" s="0" t="n">
        <f aca="false">D761*E761</f>
        <v>26032500</v>
      </c>
      <c r="G761" s="0" t="n">
        <f aca="false">INDEX(마스터!$E:$E,MATCH(C761,마스터!$A:$A,0))</f>
        <v>5290</v>
      </c>
      <c r="H761" s="0" t="n">
        <f aca="false">D761*G761</f>
        <v>11902500</v>
      </c>
    </row>
    <row r="762" customFormat="false" ht="15" hidden="false" customHeight="false" outlineLevel="0" collapsed="false">
      <c r="A762" s="0" t="s">
        <v>103</v>
      </c>
      <c r="B762" s="1" t="s">
        <v>24</v>
      </c>
      <c r="C762" s="1" t="s">
        <v>59</v>
      </c>
      <c r="D762" s="0" t="n">
        <v>2890</v>
      </c>
      <c r="E762" s="0" t="n">
        <v>14040</v>
      </c>
      <c r="F762" s="0" t="n">
        <f aca="false">D762*E762</f>
        <v>40575600</v>
      </c>
      <c r="G762" s="0" t="n">
        <f aca="false">INDEX(마스터!$E:$E,MATCH(C762,마스터!$A:$A,0))</f>
        <v>6520</v>
      </c>
      <c r="H762" s="0" t="n">
        <f aca="false">D762*G762</f>
        <v>18842800</v>
      </c>
    </row>
    <row r="763" customFormat="false" ht="15" hidden="false" customHeight="false" outlineLevel="0" collapsed="false">
      <c r="A763" s="0" t="s">
        <v>103</v>
      </c>
      <c r="B763" s="1" t="s">
        <v>24</v>
      </c>
      <c r="C763" s="1" t="s">
        <v>42</v>
      </c>
      <c r="D763" s="0" t="n">
        <v>2460</v>
      </c>
      <c r="E763" s="0" t="n">
        <v>13330</v>
      </c>
      <c r="F763" s="0" t="n">
        <f aca="false">D763*E763</f>
        <v>32791800</v>
      </c>
      <c r="G763" s="0" t="n">
        <f aca="false">INDEX(마스터!$E:$E,MATCH(C763,마스터!$A:$A,0))</f>
        <v>6730</v>
      </c>
      <c r="H763" s="0" t="n">
        <f aca="false">D763*G763</f>
        <v>16555800</v>
      </c>
    </row>
    <row r="764" customFormat="false" ht="15" hidden="false" customHeight="false" outlineLevel="0" collapsed="false">
      <c r="A764" s="0" t="s">
        <v>104</v>
      </c>
      <c r="B764" s="1" t="s">
        <v>14</v>
      </c>
      <c r="C764" s="1" t="s">
        <v>37</v>
      </c>
      <c r="D764" s="0" t="n">
        <v>3750</v>
      </c>
      <c r="E764" s="0" t="n">
        <v>9670</v>
      </c>
      <c r="F764" s="0" t="n">
        <f aca="false">D764*E764</f>
        <v>36262500</v>
      </c>
      <c r="G764" s="0" t="n">
        <f aca="false">INDEX(마스터!$E:$E,MATCH(C764,마스터!$A:$A,0))</f>
        <v>4900</v>
      </c>
      <c r="H764" s="0" t="n">
        <f aca="false">D764*G764</f>
        <v>18375000</v>
      </c>
    </row>
    <row r="765" customFormat="false" ht="15" hidden="false" customHeight="false" outlineLevel="0" collapsed="false">
      <c r="A765" s="0" t="s">
        <v>104</v>
      </c>
      <c r="B765" s="1" t="s">
        <v>14</v>
      </c>
      <c r="C765" s="1" t="s">
        <v>45</v>
      </c>
      <c r="D765" s="0" t="n">
        <v>4080</v>
      </c>
      <c r="E765" s="0" t="n">
        <v>11930</v>
      </c>
      <c r="F765" s="0" t="n">
        <f aca="false">D765*E765</f>
        <v>48674400</v>
      </c>
      <c r="G765" s="0" t="n">
        <f aca="false">INDEX(마스터!$E:$E,MATCH(C765,마스터!$A:$A,0))</f>
        <v>6110</v>
      </c>
      <c r="H765" s="0" t="n">
        <f aca="false">D765*G765</f>
        <v>24928800</v>
      </c>
    </row>
    <row r="766" customFormat="false" ht="15" hidden="false" customHeight="false" outlineLevel="0" collapsed="false">
      <c r="A766" s="0" t="s">
        <v>104</v>
      </c>
      <c r="B766" s="1" t="s">
        <v>14</v>
      </c>
      <c r="C766" s="1" t="s">
        <v>41</v>
      </c>
      <c r="D766" s="0" t="n">
        <v>2470</v>
      </c>
      <c r="E766" s="0" t="n">
        <v>10960</v>
      </c>
      <c r="F766" s="0" t="n">
        <f aca="false">D766*E766</f>
        <v>27071200</v>
      </c>
      <c r="G766" s="0" t="n">
        <f aca="false">INDEX(마스터!$E:$E,MATCH(C766,마스터!$A:$A,0))</f>
        <v>5480</v>
      </c>
      <c r="H766" s="0" t="n">
        <f aca="false">D766*G766</f>
        <v>13535600</v>
      </c>
    </row>
    <row r="767" customFormat="false" ht="15" hidden="false" customHeight="false" outlineLevel="0" collapsed="false">
      <c r="A767" s="0" t="s">
        <v>104</v>
      </c>
      <c r="B767" s="1" t="s">
        <v>14</v>
      </c>
      <c r="C767" s="1" t="s">
        <v>33</v>
      </c>
      <c r="D767" s="0" t="n">
        <v>3150</v>
      </c>
      <c r="E767" s="0" t="n">
        <v>12250</v>
      </c>
      <c r="F767" s="0" t="n">
        <f aca="false">D767*E767</f>
        <v>38587500</v>
      </c>
      <c r="G767" s="0" t="n">
        <f aca="false">INDEX(마스터!$E:$E,MATCH(C767,마스터!$A:$A,0))</f>
        <v>6790</v>
      </c>
      <c r="H767" s="0" t="n">
        <f aca="false">D767*G767</f>
        <v>21388500</v>
      </c>
    </row>
    <row r="768" customFormat="false" ht="15" hidden="false" customHeight="false" outlineLevel="0" collapsed="false">
      <c r="A768" s="0" t="s">
        <v>104</v>
      </c>
      <c r="B768" s="1" t="s">
        <v>14</v>
      </c>
      <c r="C768" s="1" t="s">
        <v>60</v>
      </c>
      <c r="D768" s="0" t="n">
        <v>7980</v>
      </c>
      <c r="E768" s="0" t="n">
        <v>12570</v>
      </c>
      <c r="F768" s="0" t="n">
        <f aca="false">D768*E768</f>
        <v>100308600</v>
      </c>
      <c r="G768" s="0" t="n">
        <f aca="false">INDEX(마스터!$E:$E,MATCH(C768,마스터!$A:$A,0))</f>
        <v>6980</v>
      </c>
      <c r="H768" s="0" t="n">
        <f aca="false">D768*G768</f>
        <v>55700400</v>
      </c>
    </row>
    <row r="769" customFormat="false" ht="15" hidden="false" customHeight="false" outlineLevel="0" collapsed="false">
      <c r="A769" s="0" t="s">
        <v>104</v>
      </c>
      <c r="B769" s="1" t="s">
        <v>14</v>
      </c>
      <c r="C769" s="1" t="s">
        <v>42</v>
      </c>
      <c r="D769" s="0" t="n">
        <v>4170</v>
      </c>
      <c r="E769" s="0" t="n">
        <v>12250</v>
      </c>
      <c r="F769" s="0" t="n">
        <f aca="false">D769*E769</f>
        <v>51082500</v>
      </c>
      <c r="G769" s="0" t="n">
        <f aca="false">INDEX(마스터!$E:$E,MATCH(C769,마스터!$A:$A,0))</f>
        <v>6730</v>
      </c>
      <c r="H769" s="0" t="n">
        <f aca="false">D769*G769</f>
        <v>28064100</v>
      </c>
    </row>
    <row r="770" customFormat="false" ht="15" hidden="false" customHeight="false" outlineLevel="0" collapsed="false">
      <c r="A770" s="0" t="s">
        <v>104</v>
      </c>
      <c r="B770" s="1" t="s">
        <v>14</v>
      </c>
      <c r="C770" s="1" t="s">
        <v>85</v>
      </c>
      <c r="D770" s="0" t="n">
        <v>2310</v>
      </c>
      <c r="E770" s="0" t="n">
        <v>8710</v>
      </c>
      <c r="F770" s="0" t="n">
        <f aca="false">D770*E770</f>
        <v>20120100</v>
      </c>
      <c r="G770" s="0" t="n">
        <f aca="false">INDEX(마스터!$E:$E,MATCH(C770,마스터!$A:$A,0))</f>
        <v>4380</v>
      </c>
      <c r="H770" s="0" t="n">
        <f aca="false">D770*G770</f>
        <v>10117800</v>
      </c>
    </row>
    <row r="771" customFormat="false" ht="15" hidden="false" customHeight="false" outlineLevel="0" collapsed="false">
      <c r="A771" s="0" t="s">
        <v>104</v>
      </c>
      <c r="B771" s="1" t="s">
        <v>15</v>
      </c>
      <c r="C771" s="1" t="s">
        <v>41</v>
      </c>
      <c r="D771" s="0" t="n">
        <v>2680</v>
      </c>
      <c r="E771" s="0" t="n">
        <v>11060</v>
      </c>
      <c r="F771" s="0" t="n">
        <f aca="false">D771*E771</f>
        <v>29640800</v>
      </c>
      <c r="G771" s="0" t="n">
        <f aca="false">INDEX(마스터!$E:$E,MATCH(C771,마스터!$A:$A,0))</f>
        <v>5480</v>
      </c>
      <c r="H771" s="0" t="n">
        <f aca="false">D771*G771</f>
        <v>14686400</v>
      </c>
    </row>
    <row r="772" customFormat="false" ht="15" hidden="false" customHeight="false" outlineLevel="0" collapsed="false">
      <c r="A772" s="0" t="s">
        <v>104</v>
      </c>
      <c r="B772" s="1" t="s">
        <v>15</v>
      </c>
      <c r="C772" s="1" t="s">
        <v>60</v>
      </c>
      <c r="D772" s="0" t="n">
        <v>6840</v>
      </c>
      <c r="E772" s="0" t="n">
        <v>12680</v>
      </c>
      <c r="F772" s="0" t="n">
        <f aca="false">D772*E772</f>
        <v>86731200</v>
      </c>
      <c r="G772" s="0" t="n">
        <f aca="false">INDEX(마스터!$E:$E,MATCH(C772,마스터!$A:$A,0))</f>
        <v>6980</v>
      </c>
      <c r="H772" s="0" t="n">
        <f aca="false">D772*G772</f>
        <v>47743200</v>
      </c>
    </row>
    <row r="773" customFormat="false" ht="15" hidden="false" customHeight="false" outlineLevel="0" collapsed="false">
      <c r="A773" s="0" t="s">
        <v>104</v>
      </c>
      <c r="B773" s="1" t="s">
        <v>15</v>
      </c>
      <c r="C773" s="1" t="s">
        <v>65</v>
      </c>
      <c r="D773" s="0" t="n">
        <v>3740</v>
      </c>
      <c r="E773" s="0" t="n">
        <v>13330</v>
      </c>
      <c r="F773" s="0" t="n">
        <f aca="false">D773*E773</f>
        <v>49854200</v>
      </c>
      <c r="G773" s="0" t="n">
        <f aca="false">INDEX(마스터!$E:$E,MATCH(C773,마스터!$A:$A,0))</f>
        <v>6670</v>
      </c>
      <c r="H773" s="0" t="n">
        <f aca="false">D773*G773</f>
        <v>24945800</v>
      </c>
    </row>
    <row r="774" customFormat="false" ht="15" hidden="false" customHeight="false" outlineLevel="0" collapsed="false">
      <c r="A774" s="0" t="s">
        <v>104</v>
      </c>
      <c r="B774" s="1" t="s">
        <v>15</v>
      </c>
      <c r="C774" s="1" t="s">
        <v>42</v>
      </c>
      <c r="D774" s="0" t="n">
        <v>3930</v>
      </c>
      <c r="E774" s="0" t="n">
        <v>12360</v>
      </c>
      <c r="F774" s="0" t="n">
        <f aca="false">D774*E774</f>
        <v>48574800</v>
      </c>
      <c r="G774" s="0" t="n">
        <f aca="false">INDEX(마스터!$E:$E,MATCH(C774,마스터!$A:$A,0))</f>
        <v>6730</v>
      </c>
      <c r="H774" s="0" t="n">
        <f aca="false">D774*G774</f>
        <v>26448900</v>
      </c>
    </row>
    <row r="775" customFormat="false" ht="15" hidden="false" customHeight="false" outlineLevel="0" collapsed="false">
      <c r="A775" s="0" t="s">
        <v>104</v>
      </c>
      <c r="B775" s="1" t="s">
        <v>15</v>
      </c>
      <c r="C775" s="1" t="s">
        <v>51</v>
      </c>
      <c r="D775" s="0" t="n">
        <v>4000</v>
      </c>
      <c r="E775" s="0" t="n">
        <v>13330</v>
      </c>
      <c r="F775" s="0" t="n">
        <f aca="false">D775*E775</f>
        <v>53320000</v>
      </c>
      <c r="G775" s="0" t="n">
        <f aca="false">INDEX(마스터!$E:$E,MATCH(C775,마스터!$A:$A,0))</f>
        <v>7480</v>
      </c>
      <c r="H775" s="0" t="n">
        <f aca="false">D775*G775</f>
        <v>29920000</v>
      </c>
    </row>
    <row r="776" customFormat="false" ht="15" hidden="false" customHeight="false" outlineLevel="0" collapsed="false">
      <c r="A776" s="0" t="s">
        <v>104</v>
      </c>
      <c r="B776" s="1" t="s">
        <v>15</v>
      </c>
      <c r="C776" s="1" t="s">
        <v>52</v>
      </c>
      <c r="D776" s="0" t="n">
        <v>2910</v>
      </c>
      <c r="E776" s="0" t="n">
        <v>10410</v>
      </c>
      <c r="F776" s="0" t="n">
        <f aca="false">D776*E776</f>
        <v>30293100</v>
      </c>
      <c r="G776" s="0" t="n">
        <f aca="false">INDEX(마스터!$E:$E,MATCH(C776,마스터!$A:$A,0))</f>
        <v>5110</v>
      </c>
      <c r="H776" s="0" t="n">
        <f aca="false">D776*G776</f>
        <v>14870100</v>
      </c>
    </row>
    <row r="777" customFormat="false" ht="15" hidden="false" customHeight="false" outlineLevel="0" collapsed="false">
      <c r="A777" s="0" t="s">
        <v>104</v>
      </c>
      <c r="B777" s="1" t="s">
        <v>15</v>
      </c>
      <c r="C777" s="1" t="s">
        <v>95</v>
      </c>
      <c r="D777" s="0" t="n">
        <v>1710</v>
      </c>
      <c r="E777" s="0" t="n">
        <v>8460</v>
      </c>
      <c r="F777" s="0" t="n">
        <f aca="false">D777*E777</f>
        <v>14466600</v>
      </c>
      <c r="G777" s="0" t="n">
        <f aca="false">INDEX(마스터!$E:$E,MATCH(C777,마스터!$A:$A,0))</f>
        <v>4420</v>
      </c>
      <c r="H777" s="0" t="n">
        <f aca="false">D777*G777</f>
        <v>7558200</v>
      </c>
    </row>
    <row r="778" customFormat="false" ht="15" hidden="false" customHeight="false" outlineLevel="0" collapsed="false">
      <c r="A778" s="0" t="s">
        <v>104</v>
      </c>
      <c r="B778" s="1" t="s">
        <v>16</v>
      </c>
      <c r="C778" s="1" t="s">
        <v>45</v>
      </c>
      <c r="D778" s="0" t="n">
        <v>3040</v>
      </c>
      <c r="E778" s="0" t="n">
        <v>12940</v>
      </c>
      <c r="F778" s="0" t="n">
        <f aca="false">D778*E778</f>
        <v>39337600</v>
      </c>
      <c r="G778" s="0" t="n">
        <f aca="false">INDEX(마스터!$E:$E,MATCH(C778,마스터!$A:$A,0))</f>
        <v>6110</v>
      </c>
      <c r="H778" s="0" t="n">
        <f aca="false">D778*G778</f>
        <v>18574400</v>
      </c>
    </row>
    <row r="779" customFormat="false" ht="15" hidden="false" customHeight="false" outlineLevel="0" collapsed="false">
      <c r="A779" s="0" t="s">
        <v>104</v>
      </c>
      <c r="B779" s="1" t="s">
        <v>16</v>
      </c>
      <c r="C779" s="1" t="s">
        <v>41</v>
      </c>
      <c r="D779" s="0" t="n">
        <v>2350</v>
      </c>
      <c r="E779" s="0" t="n">
        <v>11890</v>
      </c>
      <c r="F779" s="0" t="n">
        <f aca="false">D779*E779</f>
        <v>27941500</v>
      </c>
      <c r="G779" s="0" t="n">
        <f aca="false">INDEX(마스터!$E:$E,MATCH(C779,마스터!$A:$A,0))</f>
        <v>5480</v>
      </c>
      <c r="H779" s="0" t="n">
        <f aca="false">D779*G779</f>
        <v>12878000</v>
      </c>
    </row>
    <row r="780" customFormat="false" ht="15" hidden="false" customHeight="false" outlineLevel="0" collapsed="false">
      <c r="A780" s="0" t="s">
        <v>104</v>
      </c>
      <c r="B780" s="1" t="s">
        <v>16</v>
      </c>
      <c r="C780" s="1" t="s">
        <v>60</v>
      </c>
      <c r="D780" s="0" t="n">
        <v>5820</v>
      </c>
      <c r="E780" s="0" t="n">
        <v>13630</v>
      </c>
      <c r="F780" s="0" t="n">
        <f aca="false">D780*E780</f>
        <v>79326600</v>
      </c>
      <c r="G780" s="0" t="n">
        <f aca="false">INDEX(마스터!$E:$E,MATCH(C780,마스터!$A:$A,0))</f>
        <v>6980</v>
      </c>
      <c r="H780" s="0" t="n">
        <f aca="false">D780*G780</f>
        <v>40623600</v>
      </c>
    </row>
    <row r="781" customFormat="false" ht="15" hidden="false" customHeight="false" outlineLevel="0" collapsed="false">
      <c r="A781" s="0" t="s">
        <v>104</v>
      </c>
      <c r="B781" s="1" t="s">
        <v>16</v>
      </c>
      <c r="C781" s="1" t="s">
        <v>42</v>
      </c>
      <c r="D781" s="0" t="n">
        <v>3270</v>
      </c>
      <c r="E781" s="0" t="n">
        <v>13280</v>
      </c>
      <c r="F781" s="0" t="n">
        <f aca="false">D781*E781</f>
        <v>43425600</v>
      </c>
      <c r="G781" s="0" t="n">
        <f aca="false">INDEX(마스터!$E:$E,MATCH(C781,마스터!$A:$A,0))</f>
        <v>6730</v>
      </c>
      <c r="H781" s="0" t="n">
        <f aca="false">D781*G781</f>
        <v>22007100</v>
      </c>
    </row>
    <row r="782" customFormat="false" ht="15" hidden="false" customHeight="false" outlineLevel="0" collapsed="false">
      <c r="A782" s="0" t="s">
        <v>104</v>
      </c>
      <c r="B782" s="1" t="s">
        <v>16</v>
      </c>
      <c r="C782" s="1" t="s">
        <v>43</v>
      </c>
      <c r="D782" s="0" t="n">
        <v>2190</v>
      </c>
      <c r="E782" s="0" t="n">
        <v>12590</v>
      </c>
      <c r="F782" s="0" t="n">
        <f aca="false">D782*E782</f>
        <v>27572100</v>
      </c>
      <c r="G782" s="0" t="n">
        <f aca="false">INDEX(마스터!$E:$E,MATCH(C782,마스터!$A:$A,0))</f>
        <v>6350</v>
      </c>
      <c r="H782" s="0" t="n">
        <f aca="false">D782*G782</f>
        <v>13906500</v>
      </c>
    </row>
    <row r="783" customFormat="false" ht="15" hidden="false" customHeight="false" outlineLevel="0" collapsed="false">
      <c r="A783" s="0" t="s">
        <v>104</v>
      </c>
      <c r="B783" s="1" t="s">
        <v>16</v>
      </c>
      <c r="C783" s="1" t="s">
        <v>68</v>
      </c>
      <c r="D783" s="0" t="n">
        <v>3330</v>
      </c>
      <c r="E783" s="0" t="n">
        <v>10490</v>
      </c>
      <c r="F783" s="0" t="n">
        <f aca="false">D783*E783</f>
        <v>34931700</v>
      </c>
      <c r="G783" s="0" t="n">
        <f aca="false">INDEX(마스터!$E:$E,MATCH(C783,마스터!$A:$A,0))</f>
        <v>4880</v>
      </c>
      <c r="H783" s="0" t="n">
        <f aca="false">D783*G783</f>
        <v>16250400</v>
      </c>
    </row>
    <row r="784" customFormat="false" ht="15" hidden="false" customHeight="false" outlineLevel="0" collapsed="false">
      <c r="A784" s="0" t="s">
        <v>104</v>
      </c>
      <c r="B784" s="1" t="s">
        <v>17</v>
      </c>
      <c r="C784" s="1" t="s">
        <v>61</v>
      </c>
      <c r="D784" s="0" t="n">
        <v>2780</v>
      </c>
      <c r="E784" s="0" t="n">
        <v>10000</v>
      </c>
      <c r="F784" s="0" t="n">
        <f aca="false">D784*E784</f>
        <v>27800000</v>
      </c>
      <c r="G784" s="0" t="n">
        <f aca="false">INDEX(마스터!$E:$E,MATCH(C784,마스터!$A:$A,0))</f>
        <v>5390</v>
      </c>
      <c r="H784" s="0" t="n">
        <f aca="false">D784*G784</f>
        <v>14984200</v>
      </c>
    </row>
    <row r="785" customFormat="false" ht="15" hidden="false" customHeight="false" outlineLevel="0" collapsed="false">
      <c r="A785" s="0" t="s">
        <v>104</v>
      </c>
      <c r="B785" s="1" t="s">
        <v>17</v>
      </c>
      <c r="C785" s="1" t="s">
        <v>41</v>
      </c>
      <c r="D785" s="0" t="n">
        <v>1430</v>
      </c>
      <c r="E785" s="0" t="n">
        <v>10960</v>
      </c>
      <c r="F785" s="0" t="n">
        <f aca="false">D785*E785</f>
        <v>15672800</v>
      </c>
      <c r="G785" s="0" t="n">
        <f aca="false">INDEX(마스터!$E:$E,MATCH(C785,마스터!$A:$A,0))</f>
        <v>5480</v>
      </c>
      <c r="H785" s="0" t="n">
        <f aca="false">D785*G785</f>
        <v>7836400</v>
      </c>
    </row>
    <row r="786" customFormat="false" ht="15" hidden="false" customHeight="false" outlineLevel="0" collapsed="false">
      <c r="A786" s="0" t="s">
        <v>104</v>
      </c>
      <c r="B786" s="1" t="s">
        <v>17</v>
      </c>
      <c r="C786" s="1" t="s">
        <v>33</v>
      </c>
      <c r="D786" s="0" t="n">
        <v>2370</v>
      </c>
      <c r="E786" s="0" t="n">
        <v>12250</v>
      </c>
      <c r="F786" s="0" t="n">
        <f aca="false">D786*E786</f>
        <v>29032500</v>
      </c>
      <c r="G786" s="0" t="n">
        <f aca="false">INDEX(마스터!$E:$E,MATCH(C786,마스터!$A:$A,0))</f>
        <v>6790</v>
      </c>
      <c r="H786" s="0" t="n">
        <f aca="false">D786*G786</f>
        <v>16092300</v>
      </c>
    </row>
    <row r="787" customFormat="false" ht="15" hidden="false" customHeight="false" outlineLevel="0" collapsed="false">
      <c r="A787" s="0" t="s">
        <v>104</v>
      </c>
      <c r="B787" s="1" t="s">
        <v>17</v>
      </c>
      <c r="C787" s="1" t="s">
        <v>60</v>
      </c>
      <c r="D787" s="0" t="n">
        <v>3980</v>
      </c>
      <c r="E787" s="0" t="n">
        <v>12580</v>
      </c>
      <c r="F787" s="0" t="n">
        <f aca="false">D787*E787</f>
        <v>50068400</v>
      </c>
      <c r="G787" s="0" t="n">
        <f aca="false">INDEX(마스터!$E:$E,MATCH(C787,마스터!$A:$A,0))</f>
        <v>6980</v>
      </c>
      <c r="H787" s="0" t="n">
        <f aca="false">D787*G787</f>
        <v>27780400</v>
      </c>
    </row>
    <row r="788" customFormat="false" ht="15" hidden="false" customHeight="false" outlineLevel="0" collapsed="false">
      <c r="A788" s="0" t="s">
        <v>104</v>
      </c>
      <c r="B788" s="1" t="s">
        <v>17</v>
      </c>
      <c r="C788" s="1" t="s">
        <v>64</v>
      </c>
      <c r="D788" s="0" t="n">
        <v>1720</v>
      </c>
      <c r="E788" s="0" t="n">
        <v>11610</v>
      </c>
      <c r="F788" s="0" t="n">
        <f aca="false">D788*E788</f>
        <v>19969200</v>
      </c>
      <c r="G788" s="0" t="n">
        <f aca="false">INDEX(마스터!$E:$E,MATCH(C788,마스터!$A:$A,0))</f>
        <v>5890</v>
      </c>
      <c r="H788" s="0" t="n">
        <f aca="false">D788*G788</f>
        <v>10130800</v>
      </c>
    </row>
    <row r="789" customFormat="false" ht="15" hidden="false" customHeight="false" outlineLevel="0" collapsed="false">
      <c r="A789" s="0" t="s">
        <v>104</v>
      </c>
      <c r="B789" s="1" t="s">
        <v>17</v>
      </c>
      <c r="C789" s="1" t="s">
        <v>48</v>
      </c>
      <c r="D789" s="0" t="n">
        <v>2090</v>
      </c>
      <c r="E789" s="0" t="n">
        <v>11930</v>
      </c>
      <c r="F789" s="0" t="n">
        <f aca="false">D789*E789</f>
        <v>24933700</v>
      </c>
      <c r="G789" s="0" t="n">
        <f aca="false">INDEX(마스터!$E:$E,MATCH(C789,마스터!$A:$A,0))</f>
        <v>6440</v>
      </c>
      <c r="H789" s="0" t="n">
        <f aca="false">D789*G789</f>
        <v>13459600</v>
      </c>
    </row>
    <row r="790" customFormat="false" ht="15" hidden="false" customHeight="false" outlineLevel="0" collapsed="false">
      <c r="A790" s="0" t="s">
        <v>104</v>
      </c>
      <c r="B790" s="1" t="s">
        <v>17</v>
      </c>
      <c r="C790" s="1" t="s">
        <v>68</v>
      </c>
      <c r="D790" s="0" t="n">
        <v>2060</v>
      </c>
      <c r="E790" s="0" t="n">
        <v>9670</v>
      </c>
      <c r="F790" s="0" t="n">
        <f aca="false">D790*E790</f>
        <v>19920200</v>
      </c>
      <c r="G790" s="0" t="n">
        <f aca="false">INDEX(마스터!$E:$E,MATCH(C790,마스터!$A:$A,0))</f>
        <v>4880</v>
      </c>
      <c r="H790" s="0" t="n">
        <f aca="false">D790*G790</f>
        <v>10052800</v>
      </c>
    </row>
    <row r="791" customFormat="false" ht="15" hidden="false" customHeight="false" outlineLevel="0" collapsed="false">
      <c r="A791" s="0" t="s">
        <v>104</v>
      </c>
      <c r="B791" s="1" t="s">
        <v>18</v>
      </c>
      <c r="C791" s="1" t="s">
        <v>65</v>
      </c>
      <c r="D791" s="0" t="n">
        <v>2300</v>
      </c>
      <c r="E791" s="0" t="n">
        <v>14290</v>
      </c>
      <c r="F791" s="0" t="n">
        <f aca="false">D791*E791</f>
        <v>32867000</v>
      </c>
      <c r="G791" s="0" t="n">
        <f aca="false">INDEX(마스터!$E:$E,MATCH(C791,마스터!$A:$A,0))</f>
        <v>6670</v>
      </c>
      <c r="H791" s="0" t="n">
        <f aca="false">D791*G791</f>
        <v>15341000</v>
      </c>
    </row>
    <row r="792" customFormat="false" ht="15" hidden="false" customHeight="false" outlineLevel="0" collapsed="false">
      <c r="A792" s="0" t="s">
        <v>104</v>
      </c>
      <c r="B792" s="1" t="s">
        <v>18</v>
      </c>
      <c r="C792" s="1" t="s">
        <v>48</v>
      </c>
      <c r="D792" s="0" t="n">
        <v>4470</v>
      </c>
      <c r="E792" s="0" t="n">
        <v>12900</v>
      </c>
      <c r="F792" s="0" t="n">
        <f aca="false">D792*E792</f>
        <v>57663000</v>
      </c>
      <c r="G792" s="0" t="n">
        <f aca="false">INDEX(마스터!$E:$E,MATCH(C792,마스터!$A:$A,0))</f>
        <v>6440</v>
      </c>
      <c r="H792" s="0" t="n">
        <f aca="false">D792*G792</f>
        <v>28786800</v>
      </c>
    </row>
    <row r="793" customFormat="false" ht="15" hidden="false" customHeight="false" outlineLevel="0" collapsed="false">
      <c r="A793" s="0" t="s">
        <v>104</v>
      </c>
      <c r="B793" s="1" t="s">
        <v>18</v>
      </c>
      <c r="C793" s="1" t="s">
        <v>76</v>
      </c>
      <c r="D793" s="0" t="n">
        <v>3440</v>
      </c>
      <c r="E793" s="0" t="n">
        <v>9410</v>
      </c>
      <c r="F793" s="0" t="n">
        <f aca="false">D793*E793</f>
        <v>32370400</v>
      </c>
      <c r="G793" s="0" t="n">
        <f aca="false">INDEX(마스터!$E:$E,MATCH(C793,마스터!$A:$A,0))</f>
        <v>4150</v>
      </c>
      <c r="H793" s="0" t="n">
        <f aca="false">D793*G793</f>
        <v>14276000</v>
      </c>
    </row>
    <row r="794" customFormat="false" ht="15" hidden="false" customHeight="false" outlineLevel="0" collapsed="false">
      <c r="A794" s="0" t="s">
        <v>104</v>
      </c>
      <c r="B794" s="1" t="s">
        <v>18</v>
      </c>
      <c r="C794" s="1" t="s">
        <v>47</v>
      </c>
      <c r="D794" s="0" t="n">
        <v>3380</v>
      </c>
      <c r="E794" s="0" t="n">
        <v>9060</v>
      </c>
      <c r="F794" s="0" t="n">
        <f aca="false">D794*E794</f>
        <v>30622800</v>
      </c>
      <c r="G794" s="0" t="n">
        <f aca="false">INDEX(마스터!$E:$E,MATCH(C794,마스터!$A:$A,0))</f>
        <v>4170</v>
      </c>
      <c r="H794" s="0" t="n">
        <f aca="false">D794*G794</f>
        <v>14094600</v>
      </c>
    </row>
    <row r="795" customFormat="false" ht="15" hidden="false" customHeight="false" outlineLevel="0" collapsed="false">
      <c r="A795" s="0" t="s">
        <v>104</v>
      </c>
      <c r="B795" s="1" t="s">
        <v>19</v>
      </c>
      <c r="C795" s="1" t="s">
        <v>74</v>
      </c>
      <c r="D795" s="0" t="n">
        <v>1750</v>
      </c>
      <c r="E795" s="0" t="n">
        <v>11010</v>
      </c>
      <c r="F795" s="0" t="n">
        <f aca="false">D795*E795</f>
        <v>19267500</v>
      </c>
      <c r="G795" s="0" t="n">
        <f aca="false">INDEX(마스터!$E:$E,MATCH(C795,마스터!$A:$A,0))</f>
        <v>5400</v>
      </c>
      <c r="H795" s="0" t="n">
        <f aca="false">D795*G795</f>
        <v>9450000</v>
      </c>
    </row>
    <row r="796" customFormat="false" ht="15" hidden="false" customHeight="false" outlineLevel="0" collapsed="false">
      <c r="A796" s="0" t="s">
        <v>104</v>
      </c>
      <c r="B796" s="1" t="s">
        <v>19</v>
      </c>
      <c r="C796" s="1" t="s">
        <v>86</v>
      </c>
      <c r="D796" s="0" t="n">
        <v>2270</v>
      </c>
      <c r="E796" s="0" t="n">
        <v>11980</v>
      </c>
      <c r="F796" s="0" t="n">
        <f aca="false">D796*E796</f>
        <v>27194600</v>
      </c>
      <c r="G796" s="0" t="n">
        <f aca="false">INDEX(마스터!$E:$E,MATCH(C796,마스터!$A:$A,0))</f>
        <v>6430</v>
      </c>
      <c r="H796" s="0" t="n">
        <f aca="false">D796*G796</f>
        <v>14596100</v>
      </c>
    </row>
    <row r="797" customFormat="false" ht="15" hidden="false" customHeight="false" outlineLevel="0" collapsed="false">
      <c r="A797" s="0" t="s">
        <v>104</v>
      </c>
      <c r="B797" s="1" t="s">
        <v>19</v>
      </c>
      <c r="C797" s="1" t="s">
        <v>59</v>
      </c>
      <c r="D797" s="0" t="n">
        <v>3140</v>
      </c>
      <c r="E797" s="0" t="n">
        <v>12950</v>
      </c>
      <c r="F797" s="0" t="n">
        <f aca="false">D797*E797</f>
        <v>40663000</v>
      </c>
      <c r="G797" s="0" t="n">
        <f aca="false">INDEX(마스터!$E:$E,MATCH(C797,마스터!$A:$A,0))</f>
        <v>6520</v>
      </c>
      <c r="H797" s="0" t="n">
        <f aca="false">D797*G797</f>
        <v>20472800</v>
      </c>
    </row>
    <row r="798" customFormat="false" ht="15" hidden="false" customHeight="false" outlineLevel="0" collapsed="false">
      <c r="A798" s="0" t="s">
        <v>104</v>
      </c>
      <c r="B798" s="1" t="s">
        <v>19</v>
      </c>
      <c r="C798" s="1" t="s">
        <v>54</v>
      </c>
      <c r="D798" s="0" t="n">
        <v>1870</v>
      </c>
      <c r="E798" s="0" t="n">
        <v>12300</v>
      </c>
      <c r="F798" s="0" t="n">
        <f aca="false">D798*E798</f>
        <v>23001000</v>
      </c>
      <c r="G798" s="0" t="n">
        <f aca="false">INDEX(마스터!$E:$E,MATCH(C798,마스터!$A:$A,0))</f>
        <v>6790</v>
      </c>
      <c r="H798" s="0" t="n">
        <f aca="false">D798*G798</f>
        <v>12697300</v>
      </c>
    </row>
    <row r="799" customFormat="false" ht="15" hidden="false" customHeight="false" outlineLevel="0" collapsed="false">
      <c r="A799" s="0" t="s">
        <v>104</v>
      </c>
      <c r="B799" s="1" t="s">
        <v>19</v>
      </c>
      <c r="C799" s="1" t="s">
        <v>51</v>
      </c>
      <c r="D799" s="0" t="n">
        <v>2480</v>
      </c>
      <c r="E799" s="0" t="n">
        <v>13270</v>
      </c>
      <c r="F799" s="0" t="n">
        <f aca="false">D799*E799</f>
        <v>32909600</v>
      </c>
      <c r="G799" s="0" t="n">
        <f aca="false">INDEX(마스터!$E:$E,MATCH(C799,마스터!$A:$A,0))</f>
        <v>7480</v>
      </c>
      <c r="H799" s="0" t="n">
        <f aca="false">D799*G799</f>
        <v>18550400</v>
      </c>
    </row>
    <row r="800" customFormat="false" ht="15" hidden="false" customHeight="false" outlineLevel="0" collapsed="false">
      <c r="A800" s="0" t="s">
        <v>104</v>
      </c>
      <c r="B800" s="1" t="s">
        <v>20</v>
      </c>
      <c r="C800" s="1" t="s">
        <v>38</v>
      </c>
      <c r="D800" s="0" t="n">
        <v>1900</v>
      </c>
      <c r="E800" s="0" t="n">
        <v>12270</v>
      </c>
      <c r="F800" s="0" t="n">
        <f aca="false">D800*E800</f>
        <v>23313000</v>
      </c>
      <c r="G800" s="0" t="n">
        <f aca="false">INDEX(마스터!$E:$E,MATCH(C800,마스터!$A:$A,0))</f>
        <v>5670</v>
      </c>
      <c r="H800" s="0" t="n">
        <f aca="false">D800*G800</f>
        <v>10773000</v>
      </c>
    </row>
    <row r="801" customFormat="false" ht="15" hidden="false" customHeight="false" outlineLevel="0" collapsed="false">
      <c r="A801" s="0" t="s">
        <v>104</v>
      </c>
      <c r="B801" s="1" t="s">
        <v>20</v>
      </c>
      <c r="C801" s="1" t="s">
        <v>59</v>
      </c>
      <c r="D801" s="0" t="n">
        <v>2520</v>
      </c>
      <c r="E801" s="0" t="n">
        <v>14020</v>
      </c>
      <c r="F801" s="0" t="n">
        <f aca="false">D801*E801</f>
        <v>35330400</v>
      </c>
      <c r="G801" s="0" t="n">
        <f aca="false">INDEX(마스터!$E:$E,MATCH(C801,마스터!$A:$A,0))</f>
        <v>6520</v>
      </c>
      <c r="H801" s="0" t="n">
        <f aca="false">D801*G801</f>
        <v>16430400</v>
      </c>
    </row>
    <row r="802" customFormat="false" ht="15" hidden="false" customHeight="false" outlineLevel="0" collapsed="false">
      <c r="A802" s="0" t="s">
        <v>104</v>
      </c>
      <c r="B802" s="1" t="s">
        <v>20</v>
      </c>
      <c r="C802" s="1" t="s">
        <v>34</v>
      </c>
      <c r="D802" s="0" t="n">
        <v>1900</v>
      </c>
      <c r="E802" s="0" t="n">
        <v>12970</v>
      </c>
      <c r="F802" s="0" t="n">
        <f aca="false">D802*E802</f>
        <v>24643000</v>
      </c>
      <c r="G802" s="0" t="n">
        <f aca="false">INDEX(마스터!$E:$E,MATCH(C802,마스터!$A:$A,0))</f>
        <v>6630</v>
      </c>
      <c r="H802" s="0" t="n">
        <f aca="false">D802*G802</f>
        <v>12597000</v>
      </c>
    </row>
    <row r="803" customFormat="false" ht="15" hidden="false" customHeight="false" outlineLevel="0" collapsed="false">
      <c r="A803" s="0" t="s">
        <v>104</v>
      </c>
      <c r="B803" s="1" t="s">
        <v>20</v>
      </c>
      <c r="C803" s="1" t="s">
        <v>48</v>
      </c>
      <c r="D803" s="0" t="n">
        <v>1790</v>
      </c>
      <c r="E803" s="0" t="n">
        <v>12970</v>
      </c>
      <c r="F803" s="0" t="n">
        <f aca="false">D803*E803</f>
        <v>23216300</v>
      </c>
      <c r="G803" s="0" t="n">
        <f aca="false">INDEX(마스터!$E:$E,MATCH(C803,마스터!$A:$A,0))</f>
        <v>6440</v>
      </c>
      <c r="H803" s="0" t="n">
        <f aca="false">D803*G803</f>
        <v>11527600</v>
      </c>
    </row>
    <row r="804" customFormat="false" ht="15" hidden="false" customHeight="false" outlineLevel="0" collapsed="false">
      <c r="A804" s="0" t="s">
        <v>104</v>
      </c>
      <c r="B804" s="1" t="s">
        <v>21</v>
      </c>
      <c r="C804" s="1" t="s">
        <v>56</v>
      </c>
      <c r="D804" s="0" t="n">
        <v>2900</v>
      </c>
      <c r="E804" s="0" t="n">
        <v>10850</v>
      </c>
      <c r="F804" s="0" t="n">
        <f aca="false">D804*E804</f>
        <v>31465000</v>
      </c>
      <c r="G804" s="0" t="n">
        <f aca="false">INDEX(마스터!$E:$E,MATCH(C804,마스터!$A:$A,0))</f>
        <v>5470</v>
      </c>
      <c r="H804" s="0" t="n">
        <f aca="false">D804*G804</f>
        <v>15863000</v>
      </c>
    </row>
    <row r="805" customFormat="false" ht="15" hidden="false" customHeight="false" outlineLevel="0" collapsed="false">
      <c r="A805" s="0" t="s">
        <v>104</v>
      </c>
      <c r="B805" s="1" t="s">
        <v>21</v>
      </c>
      <c r="C805" s="1" t="s">
        <v>67</v>
      </c>
      <c r="D805" s="0" t="n">
        <v>2330</v>
      </c>
      <c r="E805" s="0" t="n">
        <v>9800</v>
      </c>
      <c r="F805" s="0" t="n">
        <f aca="false">D805*E805</f>
        <v>22834000</v>
      </c>
      <c r="G805" s="0" t="n">
        <f aca="false">INDEX(마스터!$E:$E,MATCH(C805,마스터!$A:$A,0))</f>
        <v>4360</v>
      </c>
      <c r="H805" s="0" t="n">
        <f aca="false">D805*G805</f>
        <v>10158800</v>
      </c>
    </row>
    <row r="806" customFormat="false" ht="15" hidden="false" customHeight="false" outlineLevel="0" collapsed="false">
      <c r="A806" s="0" t="s">
        <v>104</v>
      </c>
      <c r="B806" s="1" t="s">
        <v>21</v>
      </c>
      <c r="C806" s="1" t="s">
        <v>57</v>
      </c>
      <c r="D806" s="0" t="n">
        <v>2600</v>
      </c>
      <c r="E806" s="0" t="n">
        <v>10500</v>
      </c>
      <c r="F806" s="0" t="n">
        <f aca="false">D806*E806</f>
        <v>27300000</v>
      </c>
      <c r="G806" s="0" t="n">
        <f aca="false">INDEX(마스터!$E:$E,MATCH(C806,마스터!$A:$A,0))</f>
        <v>4870</v>
      </c>
      <c r="H806" s="0" t="n">
        <f aca="false">D806*G806</f>
        <v>12662000</v>
      </c>
    </row>
    <row r="807" customFormat="false" ht="15" hidden="false" customHeight="false" outlineLevel="0" collapsed="false">
      <c r="A807" s="0" t="s">
        <v>104</v>
      </c>
      <c r="B807" s="1" t="s">
        <v>22</v>
      </c>
      <c r="C807" s="1" t="s">
        <v>77</v>
      </c>
      <c r="D807" s="0" t="n">
        <v>3230</v>
      </c>
      <c r="E807" s="0" t="n">
        <v>11930</v>
      </c>
      <c r="F807" s="0" t="n">
        <f aca="false">D807*E807</f>
        <v>38533900</v>
      </c>
      <c r="G807" s="0" t="n">
        <f aca="false">INDEX(마스터!$E:$E,MATCH(C807,마스터!$A:$A,0))</f>
        <v>5380</v>
      </c>
      <c r="H807" s="0" t="n">
        <f aca="false">D807*G807</f>
        <v>17377400</v>
      </c>
    </row>
    <row r="808" customFormat="false" ht="15" hidden="false" customHeight="false" outlineLevel="0" collapsed="false">
      <c r="A808" s="0" t="s">
        <v>104</v>
      </c>
      <c r="B808" s="1" t="s">
        <v>22</v>
      </c>
      <c r="C808" s="1" t="s">
        <v>72</v>
      </c>
      <c r="D808" s="0" t="n">
        <v>3260</v>
      </c>
      <c r="E808" s="0" t="n">
        <v>12280</v>
      </c>
      <c r="F808" s="0" t="n">
        <f aca="false">D808*E808</f>
        <v>40032800</v>
      </c>
      <c r="G808" s="0" t="n">
        <f aca="false">INDEX(마스터!$E:$E,MATCH(C808,마스터!$A:$A,0))</f>
        <v>5920</v>
      </c>
      <c r="H808" s="0" t="n">
        <f aca="false">D808*G808</f>
        <v>19299200</v>
      </c>
    </row>
    <row r="809" customFormat="false" ht="15" hidden="false" customHeight="false" outlineLevel="0" collapsed="false">
      <c r="A809" s="0" t="s">
        <v>104</v>
      </c>
      <c r="B809" s="1" t="s">
        <v>23</v>
      </c>
      <c r="C809" s="1" t="s">
        <v>65</v>
      </c>
      <c r="D809" s="0" t="n">
        <v>3120</v>
      </c>
      <c r="E809" s="0" t="n">
        <v>14300</v>
      </c>
      <c r="F809" s="0" t="n">
        <f aca="false">D809*E809</f>
        <v>44616000</v>
      </c>
      <c r="G809" s="0" t="n">
        <f aca="false">INDEX(마스터!$E:$E,MATCH(C809,마스터!$A:$A,0))</f>
        <v>6670</v>
      </c>
      <c r="H809" s="0" t="n">
        <f aca="false">D809*G809</f>
        <v>20810400</v>
      </c>
    </row>
    <row r="810" customFormat="false" ht="15" hidden="false" customHeight="false" outlineLevel="0" collapsed="false">
      <c r="A810" s="0" t="s">
        <v>104</v>
      </c>
      <c r="B810" s="1" t="s">
        <v>23</v>
      </c>
      <c r="C810" s="1" t="s">
        <v>35</v>
      </c>
      <c r="D810" s="0" t="n">
        <v>2630</v>
      </c>
      <c r="E810" s="0" t="n">
        <v>10470</v>
      </c>
      <c r="F810" s="0" t="n">
        <f aca="false">D810*E810</f>
        <v>27536100</v>
      </c>
      <c r="G810" s="0" t="n">
        <f aca="false">INDEX(마스터!$E:$E,MATCH(C810,마스터!$A:$A,0))</f>
        <v>4920</v>
      </c>
      <c r="H810" s="0" t="n">
        <f aca="false">D810*G810</f>
        <v>12939600</v>
      </c>
    </row>
    <row r="811" customFormat="false" ht="15" hidden="false" customHeight="false" outlineLevel="0" collapsed="false">
      <c r="A811" s="0" t="s">
        <v>104</v>
      </c>
      <c r="B811" s="1" t="s">
        <v>25</v>
      </c>
      <c r="C811" s="1" t="s">
        <v>37</v>
      </c>
      <c r="D811" s="0" t="n">
        <v>2670</v>
      </c>
      <c r="E811" s="0" t="n">
        <v>10490</v>
      </c>
      <c r="F811" s="0" t="n">
        <f aca="false">D811*E811</f>
        <v>28008300</v>
      </c>
      <c r="G811" s="0" t="n">
        <f aca="false">INDEX(마스터!$E:$E,MATCH(C811,마스터!$A:$A,0))</f>
        <v>4900</v>
      </c>
      <c r="H811" s="0" t="n">
        <f aca="false">D811*G811</f>
        <v>13083000</v>
      </c>
    </row>
    <row r="812" customFormat="false" ht="15" hidden="false" customHeight="false" outlineLevel="0" collapsed="false">
      <c r="A812" s="0" t="s">
        <v>104</v>
      </c>
      <c r="B812" s="1" t="s">
        <v>25</v>
      </c>
      <c r="C812" s="1" t="s">
        <v>42</v>
      </c>
      <c r="D812" s="0" t="n">
        <v>2060</v>
      </c>
      <c r="E812" s="0" t="n">
        <v>13280</v>
      </c>
      <c r="F812" s="0" t="n">
        <f aca="false">D812*E812</f>
        <v>27356800</v>
      </c>
      <c r="G812" s="0" t="n">
        <f aca="false">INDEX(마스터!$E:$E,MATCH(C812,마스터!$A:$A,0))</f>
        <v>6730</v>
      </c>
      <c r="H812" s="0" t="n">
        <f aca="false">D812*G812</f>
        <v>13863800</v>
      </c>
    </row>
    <row r="813" customFormat="false" ht="15" hidden="false" customHeight="false" outlineLevel="0" collapsed="false">
      <c r="A813" s="0" t="s">
        <v>104</v>
      </c>
      <c r="B813" s="1" t="s">
        <v>24</v>
      </c>
      <c r="C813" s="1" t="s">
        <v>61</v>
      </c>
      <c r="D813" s="0" t="n">
        <v>2340</v>
      </c>
      <c r="E813" s="0" t="n">
        <v>10890</v>
      </c>
      <c r="F813" s="0" t="n">
        <f aca="false">D813*E813</f>
        <v>25482600</v>
      </c>
      <c r="G813" s="0" t="n">
        <f aca="false">INDEX(마스터!$E:$E,MATCH(C813,마스터!$A:$A,0))</f>
        <v>5390</v>
      </c>
      <c r="H813" s="0" t="n">
        <f aca="false">D813*G813</f>
        <v>12612600</v>
      </c>
    </row>
    <row r="814" customFormat="false" ht="15" hidden="false" customHeight="false" outlineLevel="0" collapsed="false">
      <c r="A814" s="0" t="s">
        <v>104</v>
      </c>
      <c r="B814" s="1" t="s">
        <v>24</v>
      </c>
      <c r="C814" s="1" t="s">
        <v>47</v>
      </c>
      <c r="D814" s="0" t="n">
        <v>2380</v>
      </c>
      <c r="E814" s="0" t="n">
        <v>9130</v>
      </c>
      <c r="F814" s="0" t="n">
        <f aca="false">D814*E814</f>
        <v>21729400</v>
      </c>
      <c r="G814" s="0" t="n">
        <f aca="false">INDEX(마스터!$E:$E,MATCH(C814,마스터!$A:$A,0))</f>
        <v>4170</v>
      </c>
      <c r="H814" s="0" t="n">
        <f aca="false">D814*G814</f>
        <v>9924600</v>
      </c>
    </row>
    <row r="815" customFormat="false" ht="15" hidden="false" customHeight="false" outlineLevel="0" collapsed="false">
      <c r="A815" s="0" t="s">
        <v>105</v>
      </c>
      <c r="B815" s="1" t="s">
        <v>14</v>
      </c>
      <c r="C815" s="1" t="s">
        <v>37</v>
      </c>
      <c r="D815" s="0" t="n">
        <v>3490</v>
      </c>
      <c r="E815" s="0" t="n">
        <v>9670</v>
      </c>
      <c r="F815" s="0" t="n">
        <f aca="false">D815*E815</f>
        <v>33748300</v>
      </c>
      <c r="G815" s="0" t="n">
        <f aca="false">INDEX(마스터!$E:$E,MATCH(C815,마스터!$A:$A,0))</f>
        <v>4900</v>
      </c>
      <c r="H815" s="0" t="n">
        <f aca="false">D815*G815</f>
        <v>17101000</v>
      </c>
    </row>
    <row r="816" customFormat="false" ht="15" hidden="false" customHeight="false" outlineLevel="0" collapsed="false">
      <c r="A816" s="0" t="s">
        <v>105</v>
      </c>
      <c r="B816" s="1" t="s">
        <v>14</v>
      </c>
      <c r="C816" s="1" t="s">
        <v>45</v>
      </c>
      <c r="D816" s="0" t="n">
        <v>7230</v>
      </c>
      <c r="E816" s="0" t="n">
        <v>11920</v>
      </c>
      <c r="F816" s="0" t="n">
        <f aca="false">D816*E816</f>
        <v>86181600</v>
      </c>
      <c r="G816" s="0" t="n">
        <f aca="false">INDEX(마스터!$E:$E,MATCH(C816,마스터!$A:$A,0))</f>
        <v>6110</v>
      </c>
      <c r="H816" s="0" t="n">
        <f aca="false">D816*G816</f>
        <v>44175300</v>
      </c>
    </row>
    <row r="817" customFormat="false" ht="15" hidden="false" customHeight="false" outlineLevel="0" collapsed="false">
      <c r="A817" s="0" t="s">
        <v>105</v>
      </c>
      <c r="B817" s="1" t="s">
        <v>14</v>
      </c>
      <c r="C817" s="1" t="s">
        <v>41</v>
      </c>
      <c r="D817" s="0" t="n">
        <v>3840</v>
      </c>
      <c r="E817" s="0" t="n">
        <v>10950</v>
      </c>
      <c r="F817" s="0" t="n">
        <f aca="false">D817*E817</f>
        <v>42048000</v>
      </c>
      <c r="G817" s="0" t="n">
        <f aca="false">INDEX(마스터!$E:$E,MATCH(C817,마스터!$A:$A,0))</f>
        <v>5480</v>
      </c>
      <c r="H817" s="0" t="n">
        <f aca="false">D817*G817</f>
        <v>21043200</v>
      </c>
    </row>
    <row r="818" customFormat="false" ht="15" hidden="false" customHeight="false" outlineLevel="0" collapsed="false">
      <c r="A818" s="0" t="s">
        <v>105</v>
      </c>
      <c r="B818" s="1" t="s">
        <v>14</v>
      </c>
      <c r="C818" s="1" t="s">
        <v>60</v>
      </c>
      <c r="D818" s="0" t="n">
        <v>10510</v>
      </c>
      <c r="E818" s="0" t="n">
        <v>12560</v>
      </c>
      <c r="F818" s="0" t="n">
        <f aca="false">D818*E818</f>
        <v>132005600</v>
      </c>
      <c r="G818" s="0" t="n">
        <f aca="false">INDEX(마스터!$E:$E,MATCH(C818,마스터!$A:$A,0))</f>
        <v>6980</v>
      </c>
      <c r="H818" s="0" t="n">
        <f aca="false">D818*G818</f>
        <v>73359800</v>
      </c>
    </row>
    <row r="819" customFormat="false" ht="15" hidden="false" customHeight="false" outlineLevel="0" collapsed="false">
      <c r="A819" s="0" t="s">
        <v>105</v>
      </c>
      <c r="B819" s="1" t="s">
        <v>14</v>
      </c>
      <c r="C819" s="1" t="s">
        <v>65</v>
      </c>
      <c r="D819" s="0" t="n">
        <v>3050</v>
      </c>
      <c r="E819" s="0" t="n">
        <v>13210</v>
      </c>
      <c r="F819" s="0" t="n">
        <f aca="false">D819*E819</f>
        <v>40290500</v>
      </c>
      <c r="G819" s="0" t="n">
        <f aca="false">INDEX(마스터!$E:$E,MATCH(C819,마스터!$A:$A,0))</f>
        <v>6670</v>
      </c>
      <c r="H819" s="0" t="n">
        <f aca="false">D819*G819</f>
        <v>20343500</v>
      </c>
    </row>
    <row r="820" customFormat="false" ht="15" hidden="false" customHeight="false" outlineLevel="0" collapsed="false">
      <c r="A820" s="0" t="s">
        <v>105</v>
      </c>
      <c r="B820" s="1" t="s">
        <v>14</v>
      </c>
      <c r="C820" s="1" t="s">
        <v>55</v>
      </c>
      <c r="D820" s="0" t="n">
        <v>4280</v>
      </c>
      <c r="E820" s="0" t="n">
        <v>11920</v>
      </c>
      <c r="F820" s="0" t="n">
        <f aca="false">D820*E820</f>
        <v>51017600</v>
      </c>
      <c r="G820" s="0" t="n">
        <f aca="false">INDEX(마스터!$E:$E,MATCH(C820,마스터!$A:$A,0))</f>
        <v>6040</v>
      </c>
      <c r="H820" s="0" t="n">
        <f aca="false">D820*G820</f>
        <v>25851200</v>
      </c>
    </row>
    <row r="821" customFormat="false" ht="15" hidden="false" customHeight="false" outlineLevel="0" collapsed="false">
      <c r="A821" s="0" t="s">
        <v>105</v>
      </c>
      <c r="B821" s="1" t="s">
        <v>14</v>
      </c>
      <c r="C821" s="1" t="s">
        <v>43</v>
      </c>
      <c r="D821" s="0" t="n">
        <v>2310</v>
      </c>
      <c r="E821" s="0" t="n">
        <v>11600</v>
      </c>
      <c r="F821" s="0" t="n">
        <f aca="false">D821*E821</f>
        <v>26796000</v>
      </c>
      <c r="G821" s="0" t="n">
        <f aca="false">INDEX(마스터!$E:$E,MATCH(C821,마스터!$A:$A,0))</f>
        <v>6350</v>
      </c>
      <c r="H821" s="0" t="n">
        <f aca="false">D821*G821</f>
        <v>14668500</v>
      </c>
    </row>
    <row r="822" customFormat="false" ht="15" hidden="false" customHeight="false" outlineLevel="0" collapsed="false">
      <c r="A822" s="0" t="s">
        <v>105</v>
      </c>
      <c r="B822" s="1" t="s">
        <v>14</v>
      </c>
      <c r="C822" s="1" t="s">
        <v>36</v>
      </c>
      <c r="D822" s="0" t="n">
        <v>2970</v>
      </c>
      <c r="E822" s="0" t="n">
        <v>9340</v>
      </c>
      <c r="F822" s="0" t="n">
        <f aca="false">D822*E822</f>
        <v>27739800</v>
      </c>
      <c r="G822" s="0" t="n">
        <f aca="false">INDEX(마스터!$E:$E,MATCH(C822,마스터!$A:$A,0))</f>
        <v>4540</v>
      </c>
      <c r="H822" s="0" t="n">
        <f aca="false">D822*G822</f>
        <v>13483800</v>
      </c>
    </row>
    <row r="823" customFormat="false" ht="15" hidden="false" customHeight="false" outlineLevel="0" collapsed="false">
      <c r="A823" s="0" t="s">
        <v>105</v>
      </c>
      <c r="B823" s="1" t="s">
        <v>15</v>
      </c>
      <c r="C823" s="1" t="s">
        <v>45</v>
      </c>
      <c r="D823" s="0" t="n">
        <v>5930</v>
      </c>
      <c r="E823" s="0" t="n">
        <v>12010</v>
      </c>
      <c r="F823" s="0" t="n">
        <f aca="false">D823*E823</f>
        <v>71219300</v>
      </c>
      <c r="G823" s="0" t="n">
        <f aca="false">INDEX(마스터!$E:$E,MATCH(C823,마스터!$A:$A,0))</f>
        <v>6110</v>
      </c>
      <c r="H823" s="0" t="n">
        <f aca="false">D823*G823</f>
        <v>36232300</v>
      </c>
    </row>
    <row r="824" customFormat="false" ht="15" hidden="false" customHeight="false" outlineLevel="0" collapsed="false">
      <c r="A824" s="0" t="s">
        <v>105</v>
      </c>
      <c r="B824" s="1" t="s">
        <v>15</v>
      </c>
      <c r="C824" s="1" t="s">
        <v>41</v>
      </c>
      <c r="D824" s="0" t="n">
        <v>2970</v>
      </c>
      <c r="E824" s="0" t="n">
        <v>11040</v>
      </c>
      <c r="F824" s="0" t="n">
        <f aca="false">D824*E824</f>
        <v>32788800</v>
      </c>
      <c r="G824" s="0" t="n">
        <f aca="false">INDEX(마스터!$E:$E,MATCH(C824,마스터!$A:$A,0))</f>
        <v>5480</v>
      </c>
      <c r="H824" s="0" t="n">
        <f aca="false">D824*G824</f>
        <v>16275600</v>
      </c>
    </row>
    <row r="825" customFormat="false" ht="15" hidden="false" customHeight="false" outlineLevel="0" collapsed="false">
      <c r="A825" s="0" t="s">
        <v>105</v>
      </c>
      <c r="B825" s="1" t="s">
        <v>15</v>
      </c>
      <c r="C825" s="1" t="s">
        <v>60</v>
      </c>
      <c r="D825" s="0" t="n">
        <v>7690</v>
      </c>
      <c r="E825" s="0" t="n">
        <v>12660</v>
      </c>
      <c r="F825" s="0" t="n">
        <f aca="false">D825*E825</f>
        <v>97355400</v>
      </c>
      <c r="G825" s="0" t="n">
        <f aca="false">INDEX(마스터!$E:$E,MATCH(C825,마스터!$A:$A,0))</f>
        <v>6980</v>
      </c>
      <c r="H825" s="0" t="n">
        <f aca="false">D825*G825</f>
        <v>53676200</v>
      </c>
    </row>
    <row r="826" customFormat="false" ht="15" hidden="false" customHeight="false" outlineLevel="0" collapsed="false">
      <c r="A826" s="0" t="s">
        <v>105</v>
      </c>
      <c r="B826" s="1" t="s">
        <v>15</v>
      </c>
      <c r="C826" s="1" t="s">
        <v>55</v>
      </c>
      <c r="D826" s="0" t="n">
        <v>3700</v>
      </c>
      <c r="E826" s="0" t="n">
        <v>12010</v>
      </c>
      <c r="F826" s="0" t="n">
        <f aca="false">D826*E826</f>
        <v>44437000</v>
      </c>
      <c r="G826" s="0" t="n">
        <f aca="false">INDEX(마스터!$E:$E,MATCH(C826,마스터!$A:$A,0))</f>
        <v>6040</v>
      </c>
      <c r="H826" s="0" t="n">
        <f aca="false">D826*G826</f>
        <v>22348000</v>
      </c>
    </row>
    <row r="827" customFormat="false" ht="15" hidden="false" customHeight="false" outlineLevel="0" collapsed="false">
      <c r="A827" s="0" t="s">
        <v>105</v>
      </c>
      <c r="B827" s="1" t="s">
        <v>15</v>
      </c>
      <c r="C827" s="1" t="s">
        <v>43</v>
      </c>
      <c r="D827" s="0" t="n">
        <v>3060</v>
      </c>
      <c r="E827" s="0" t="n">
        <v>11690</v>
      </c>
      <c r="F827" s="0" t="n">
        <f aca="false">D827*E827</f>
        <v>35771400</v>
      </c>
      <c r="G827" s="0" t="n">
        <f aca="false">INDEX(마스터!$E:$E,MATCH(C827,마스터!$A:$A,0))</f>
        <v>6350</v>
      </c>
      <c r="H827" s="0" t="n">
        <f aca="false">D827*G827</f>
        <v>19431000</v>
      </c>
    </row>
    <row r="828" customFormat="false" ht="15" hidden="false" customHeight="false" outlineLevel="0" collapsed="false">
      <c r="A828" s="0" t="s">
        <v>105</v>
      </c>
      <c r="B828" s="1" t="s">
        <v>15</v>
      </c>
      <c r="C828" s="1" t="s">
        <v>75</v>
      </c>
      <c r="D828" s="0" t="n">
        <v>2670</v>
      </c>
      <c r="E828" s="0" t="n">
        <v>11040</v>
      </c>
      <c r="F828" s="0" t="n">
        <f aca="false">D828*E828</f>
        <v>29476800</v>
      </c>
      <c r="G828" s="0" t="n">
        <f aca="false">INDEX(마스터!$E:$E,MATCH(C828,마스터!$A:$A,0))</f>
        <v>5440</v>
      </c>
      <c r="H828" s="0" t="n">
        <f aca="false">D828*G828</f>
        <v>14524800</v>
      </c>
    </row>
    <row r="829" customFormat="false" ht="15" hidden="false" customHeight="false" outlineLevel="0" collapsed="false">
      <c r="A829" s="0" t="s">
        <v>105</v>
      </c>
      <c r="B829" s="1" t="s">
        <v>15</v>
      </c>
      <c r="C829" s="1" t="s">
        <v>47</v>
      </c>
      <c r="D829" s="0" t="n">
        <v>4060</v>
      </c>
      <c r="E829" s="0" t="n">
        <v>8440</v>
      </c>
      <c r="F829" s="0" t="n">
        <f aca="false">D829*E829</f>
        <v>34266400</v>
      </c>
      <c r="G829" s="0" t="n">
        <f aca="false">INDEX(마스터!$E:$E,MATCH(C829,마스터!$A:$A,0))</f>
        <v>4170</v>
      </c>
      <c r="H829" s="0" t="n">
        <f aca="false">D829*G829</f>
        <v>16930200</v>
      </c>
    </row>
    <row r="830" customFormat="false" ht="15" hidden="false" customHeight="false" outlineLevel="0" collapsed="false">
      <c r="A830" s="0" t="s">
        <v>105</v>
      </c>
      <c r="B830" s="1" t="s">
        <v>15</v>
      </c>
      <c r="C830" s="1" t="s">
        <v>40</v>
      </c>
      <c r="D830" s="0" t="n">
        <v>3440</v>
      </c>
      <c r="E830" s="0" t="n">
        <v>9090</v>
      </c>
      <c r="F830" s="0" t="n">
        <f aca="false">D830*E830</f>
        <v>31269600</v>
      </c>
      <c r="G830" s="0" t="n">
        <f aca="false">INDEX(마스터!$E:$E,MATCH(C830,마스터!$A:$A,0))</f>
        <v>4740</v>
      </c>
      <c r="H830" s="0" t="n">
        <f aca="false">D830*G830</f>
        <v>16305600</v>
      </c>
    </row>
    <row r="831" customFormat="false" ht="15" hidden="false" customHeight="false" outlineLevel="0" collapsed="false">
      <c r="A831" s="0" t="s">
        <v>105</v>
      </c>
      <c r="B831" s="1" t="s">
        <v>16</v>
      </c>
      <c r="C831" s="1" t="s">
        <v>45</v>
      </c>
      <c r="D831" s="0" t="n">
        <v>3850</v>
      </c>
      <c r="E831" s="0" t="n">
        <v>12950</v>
      </c>
      <c r="F831" s="0" t="n">
        <f aca="false">D831*E831</f>
        <v>49857500</v>
      </c>
      <c r="G831" s="0" t="n">
        <f aca="false">INDEX(마스터!$E:$E,MATCH(C831,마스터!$A:$A,0))</f>
        <v>6110</v>
      </c>
      <c r="H831" s="0" t="n">
        <f aca="false">D831*G831</f>
        <v>23523500</v>
      </c>
    </row>
    <row r="832" customFormat="false" ht="15" hidden="false" customHeight="false" outlineLevel="0" collapsed="false">
      <c r="A832" s="0" t="s">
        <v>105</v>
      </c>
      <c r="B832" s="1" t="s">
        <v>16</v>
      </c>
      <c r="C832" s="1" t="s">
        <v>41</v>
      </c>
      <c r="D832" s="0" t="n">
        <v>3070</v>
      </c>
      <c r="E832" s="0" t="n">
        <v>11900</v>
      </c>
      <c r="F832" s="0" t="n">
        <f aca="false">D832*E832</f>
        <v>36533000</v>
      </c>
      <c r="G832" s="0" t="n">
        <f aca="false">INDEX(마스터!$E:$E,MATCH(C832,마스터!$A:$A,0))</f>
        <v>5480</v>
      </c>
      <c r="H832" s="0" t="n">
        <f aca="false">D832*G832</f>
        <v>16823600</v>
      </c>
    </row>
    <row r="833" customFormat="false" ht="15" hidden="false" customHeight="false" outlineLevel="0" collapsed="false">
      <c r="A833" s="0" t="s">
        <v>105</v>
      </c>
      <c r="B833" s="1" t="s">
        <v>16</v>
      </c>
      <c r="C833" s="1" t="s">
        <v>60</v>
      </c>
      <c r="D833" s="0" t="n">
        <v>5770</v>
      </c>
      <c r="E833" s="0" t="n">
        <v>13650</v>
      </c>
      <c r="F833" s="0" t="n">
        <f aca="false">D833*E833</f>
        <v>78760500</v>
      </c>
      <c r="G833" s="0" t="n">
        <f aca="false">INDEX(마스터!$E:$E,MATCH(C833,마스터!$A:$A,0))</f>
        <v>6980</v>
      </c>
      <c r="H833" s="0" t="n">
        <f aca="false">D833*G833</f>
        <v>40274600</v>
      </c>
    </row>
    <row r="834" customFormat="false" ht="15" hidden="false" customHeight="false" outlineLevel="0" collapsed="false">
      <c r="A834" s="0" t="s">
        <v>105</v>
      </c>
      <c r="B834" s="1" t="s">
        <v>16</v>
      </c>
      <c r="C834" s="1" t="s">
        <v>64</v>
      </c>
      <c r="D834" s="0" t="n">
        <v>2460</v>
      </c>
      <c r="E834" s="0" t="n">
        <v>12600</v>
      </c>
      <c r="F834" s="0" t="n">
        <f aca="false">D834*E834</f>
        <v>30996000</v>
      </c>
      <c r="G834" s="0" t="n">
        <f aca="false">INDEX(마스터!$E:$E,MATCH(C834,마스터!$A:$A,0))</f>
        <v>5890</v>
      </c>
      <c r="H834" s="0" t="n">
        <f aca="false">D834*G834</f>
        <v>14489400</v>
      </c>
    </row>
    <row r="835" customFormat="false" ht="15" hidden="false" customHeight="false" outlineLevel="0" collapsed="false">
      <c r="A835" s="0" t="s">
        <v>105</v>
      </c>
      <c r="B835" s="1" t="s">
        <v>16</v>
      </c>
      <c r="C835" s="1" t="s">
        <v>34</v>
      </c>
      <c r="D835" s="0" t="n">
        <v>3080</v>
      </c>
      <c r="E835" s="0" t="n">
        <v>12950</v>
      </c>
      <c r="F835" s="0" t="n">
        <f aca="false">D835*E835</f>
        <v>39886000</v>
      </c>
      <c r="G835" s="0" t="n">
        <f aca="false">INDEX(마스터!$E:$E,MATCH(C835,마스터!$A:$A,0))</f>
        <v>6630</v>
      </c>
      <c r="H835" s="0" t="n">
        <f aca="false">D835*G835</f>
        <v>20420400</v>
      </c>
    </row>
    <row r="836" customFormat="false" ht="15" hidden="false" customHeight="false" outlineLevel="0" collapsed="false">
      <c r="A836" s="0" t="s">
        <v>105</v>
      </c>
      <c r="B836" s="1" t="s">
        <v>16</v>
      </c>
      <c r="C836" s="1" t="s">
        <v>42</v>
      </c>
      <c r="D836" s="0" t="n">
        <v>3920</v>
      </c>
      <c r="E836" s="0" t="n">
        <v>13300</v>
      </c>
      <c r="F836" s="0" t="n">
        <f aca="false">D836*E836</f>
        <v>52136000</v>
      </c>
      <c r="G836" s="0" t="n">
        <f aca="false">INDEX(마스터!$E:$E,MATCH(C836,마스터!$A:$A,0))</f>
        <v>6730</v>
      </c>
      <c r="H836" s="0" t="n">
        <f aca="false">D836*G836</f>
        <v>26381600</v>
      </c>
    </row>
    <row r="837" customFormat="false" ht="15" hidden="false" customHeight="false" outlineLevel="0" collapsed="false">
      <c r="A837" s="0" t="s">
        <v>105</v>
      </c>
      <c r="B837" s="1" t="s">
        <v>16</v>
      </c>
      <c r="C837" s="1" t="s">
        <v>47</v>
      </c>
      <c r="D837" s="0" t="n">
        <v>2720</v>
      </c>
      <c r="E837" s="0" t="n">
        <v>9100</v>
      </c>
      <c r="F837" s="0" t="n">
        <f aca="false">D837*E837</f>
        <v>24752000</v>
      </c>
      <c r="G837" s="0" t="n">
        <f aca="false">INDEX(마스터!$E:$E,MATCH(C837,마스터!$A:$A,0))</f>
        <v>4170</v>
      </c>
      <c r="H837" s="0" t="n">
        <f aca="false">D837*G837</f>
        <v>11342400</v>
      </c>
    </row>
    <row r="838" customFormat="false" ht="15" hidden="false" customHeight="false" outlineLevel="0" collapsed="false">
      <c r="A838" s="0" t="s">
        <v>105</v>
      </c>
      <c r="B838" s="1" t="s">
        <v>17</v>
      </c>
      <c r="C838" s="1" t="s">
        <v>99</v>
      </c>
      <c r="D838" s="0" t="n">
        <v>1590</v>
      </c>
      <c r="E838" s="0" t="n">
        <v>11280</v>
      </c>
      <c r="F838" s="0" t="n">
        <f aca="false">D838*E838</f>
        <v>17935200</v>
      </c>
      <c r="G838" s="0" t="n">
        <f aca="false">INDEX(마스터!$E:$E,MATCH(C838,마스터!$A:$A,0))</f>
        <v>5750</v>
      </c>
      <c r="H838" s="0" t="n">
        <f aca="false">D838*G838</f>
        <v>9142500</v>
      </c>
    </row>
    <row r="839" customFormat="false" ht="15" hidden="false" customHeight="false" outlineLevel="0" collapsed="false">
      <c r="A839" s="0" t="s">
        <v>105</v>
      </c>
      <c r="B839" s="1" t="s">
        <v>17</v>
      </c>
      <c r="C839" s="1" t="s">
        <v>45</v>
      </c>
      <c r="D839" s="0" t="n">
        <v>3090</v>
      </c>
      <c r="E839" s="0" t="n">
        <v>11930</v>
      </c>
      <c r="F839" s="0" t="n">
        <f aca="false">D839*E839</f>
        <v>36863700</v>
      </c>
      <c r="G839" s="0" t="n">
        <f aca="false">INDEX(마스터!$E:$E,MATCH(C839,마스터!$A:$A,0))</f>
        <v>6110</v>
      </c>
      <c r="H839" s="0" t="n">
        <f aca="false">D839*G839</f>
        <v>18879900</v>
      </c>
    </row>
    <row r="840" customFormat="false" ht="15" hidden="false" customHeight="false" outlineLevel="0" collapsed="false">
      <c r="A840" s="0" t="s">
        <v>105</v>
      </c>
      <c r="B840" s="1" t="s">
        <v>17</v>
      </c>
      <c r="C840" s="1" t="s">
        <v>61</v>
      </c>
      <c r="D840" s="0" t="n">
        <v>2760</v>
      </c>
      <c r="E840" s="0" t="n">
        <v>9990</v>
      </c>
      <c r="F840" s="0" t="n">
        <f aca="false">D840*E840</f>
        <v>27572400</v>
      </c>
      <c r="G840" s="0" t="n">
        <f aca="false">INDEX(마스터!$E:$E,MATCH(C840,마스터!$A:$A,0))</f>
        <v>5390</v>
      </c>
      <c r="H840" s="0" t="n">
        <f aca="false">D840*G840</f>
        <v>14876400</v>
      </c>
    </row>
    <row r="841" customFormat="false" ht="15" hidden="false" customHeight="false" outlineLevel="0" collapsed="false">
      <c r="A841" s="0" t="s">
        <v>105</v>
      </c>
      <c r="B841" s="1" t="s">
        <v>17</v>
      </c>
      <c r="C841" s="1" t="s">
        <v>41</v>
      </c>
      <c r="D841" s="0" t="n">
        <v>2320</v>
      </c>
      <c r="E841" s="0" t="n">
        <v>10960</v>
      </c>
      <c r="F841" s="0" t="n">
        <f aca="false">D841*E841</f>
        <v>25427200</v>
      </c>
      <c r="G841" s="0" t="n">
        <f aca="false">INDEX(마스터!$E:$E,MATCH(C841,마스터!$A:$A,0))</f>
        <v>5480</v>
      </c>
      <c r="H841" s="0" t="n">
        <f aca="false">D841*G841</f>
        <v>12713600</v>
      </c>
    </row>
    <row r="842" customFormat="false" ht="15" hidden="false" customHeight="false" outlineLevel="0" collapsed="false">
      <c r="A842" s="0" t="s">
        <v>105</v>
      </c>
      <c r="B842" s="1" t="s">
        <v>17</v>
      </c>
      <c r="C842" s="1" t="s">
        <v>60</v>
      </c>
      <c r="D842" s="0" t="n">
        <v>5660</v>
      </c>
      <c r="E842" s="0" t="n">
        <v>12570</v>
      </c>
      <c r="F842" s="0" t="n">
        <f aca="false">D842*E842</f>
        <v>71146200</v>
      </c>
      <c r="G842" s="0" t="n">
        <f aca="false">INDEX(마스터!$E:$E,MATCH(C842,마스터!$A:$A,0))</f>
        <v>6980</v>
      </c>
      <c r="H842" s="0" t="n">
        <f aca="false">D842*G842</f>
        <v>39506800</v>
      </c>
    </row>
    <row r="843" customFormat="false" ht="15" hidden="false" customHeight="false" outlineLevel="0" collapsed="false">
      <c r="A843" s="0" t="s">
        <v>105</v>
      </c>
      <c r="B843" s="1" t="s">
        <v>17</v>
      </c>
      <c r="C843" s="1" t="s">
        <v>55</v>
      </c>
      <c r="D843" s="0" t="n">
        <v>2590</v>
      </c>
      <c r="E843" s="0" t="n">
        <v>11930</v>
      </c>
      <c r="F843" s="0" t="n">
        <f aca="false">D843*E843</f>
        <v>30898700</v>
      </c>
      <c r="G843" s="0" t="n">
        <f aca="false">INDEX(마스터!$E:$E,MATCH(C843,마스터!$A:$A,0))</f>
        <v>6040</v>
      </c>
      <c r="H843" s="0" t="n">
        <f aca="false">D843*G843</f>
        <v>15643600</v>
      </c>
    </row>
    <row r="844" customFormat="false" ht="15" hidden="false" customHeight="false" outlineLevel="0" collapsed="false">
      <c r="A844" s="0" t="s">
        <v>105</v>
      </c>
      <c r="B844" s="1" t="s">
        <v>17</v>
      </c>
      <c r="C844" s="1" t="s">
        <v>81</v>
      </c>
      <c r="D844" s="0" t="n">
        <v>1470</v>
      </c>
      <c r="E844" s="0" t="n">
        <v>11610</v>
      </c>
      <c r="F844" s="0" t="n">
        <f aca="false">D844*E844</f>
        <v>17066700</v>
      </c>
      <c r="G844" s="0" t="n">
        <f aca="false">INDEX(마스터!$E:$E,MATCH(C844,마스터!$A:$A,0))</f>
        <v>6220</v>
      </c>
      <c r="H844" s="0" t="n">
        <f aca="false">D844*G844</f>
        <v>9143400</v>
      </c>
    </row>
    <row r="845" customFormat="false" ht="15" hidden="false" customHeight="false" outlineLevel="0" collapsed="false">
      <c r="A845" s="0" t="s">
        <v>105</v>
      </c>
      <c r="B845" s="1" t="s">
        <v>17</v>
      </c>
      <c r="C845" s="1" t="s">
        <v>47</v>
      </c>
      <c r="D845" s="0" t="n">
        <v>1970</v>
      </c>
      <c r="E845" s="0" t="n">
        <v>8380</v>
      </c>
      <c r="F845" s="0" t="n">
        <f aca="false">D845*E845</f>
        <v>16508600</v>
      </c>
      <c r="G845" s="0" t="n">
        <f aca="false">INDEX(마스터!$E:$E,MATCH(C845,마스터!$A:$A,0))</f>
        <v>4170</v>
      </c>
      <c r="H845" s="0" t="n">
        <f aca="false">D845*G845</f>
        <v>8214900</v>
      </c>
    </row>
    <row r="846" customFormat="false" ht="15" hidden="false" customHeight="false" outlineLevel="0" collapsed="false">
      <c r="A846" s="0" t="s">
        <v>105</v>
      </c>
      <c r="B846" s="1" t="s">
        <v>18</v>
      </c>
      <c r="C846" s="1" t="s">
        <v>45</v>
      </c>
      <c r="D846" s="0" t="n">
        <v>5730</v>
      </c>
      <c r="E846" s="0" t="n">
        <v>12900</v>
      </c>
      <c r="F846" s="0" t="n">
        <f aca="false">D846*E846</f>
        <v>73917000</v>
      </c>
      <c r="G846" s="0" t="n">
        <f aca="false">INDEX(마스터!$E:$E,MATCH(C846,마스터!$A:$A,0))</f>
        <v>6110</v>
      </c>
      <c r="H846" s="0" t="n">
        <f aca="false">D846*G846</f>
        <v>35010300</v>
      </c>
    </row>
    <row r="847" customFormat="false" ht="15" hidden="false" customHeight="false" outlineLevel="0" collapsed="false">
      <c r="A847" s="0" t="s">
        <v>105</v>
      </c>
      <c r="B847" s="1" t="s">
        <v>18</v>
      </c>
      <c r="C847" s="1" t="s">
        <v>72</v>
      </c>
      <c r="D847" s="0" t="n">
        <v>4670</v>
      </c>
      <c r="E847" s="0" t="n">
        <v>12200</v>
      </c>
      <c r="F847" s="0" t="n">
        <f aca="false">D847*E847</f>
        <v>56974000</v>
      </c>
      <c r="G847" s="0" t="n">
        <f aca="false">INDEX(마스터!$E:$E,MATCH(C847,마스터!$A:$A,0))</f>
        <v>5920</v>
      </c>
      <c r="H847" s="0" t="n">
        <f aca="false">D847*G847</f>
        <v>27646400</v>
      </c>
    </row>
    <row r="848" customFormat="false" ht="15" hidden="false" customHeight="false" outlineLevel="0" collapsed="false">
      <c r="A848" s="0" t="s">
        <v>105</v>
      </c>
      <c r="B848" s="1" t="s">
        <v>18</v>
      </c>
      <c r="C848" s="1" t="s">
        <v>88</v>
      </c>
      <c r="D848" s="0" t="n">
        <v>2880</v>
      </c>
      <c r="E848" s="0" t="n">
        <v>11850</v>
      </c>
      <c r="F848" s="0" t="n">
        <f aca="false">D848*E848</f>
        <v>34128000</v>
      </c>
      <c r="G848" s="0" t="n">
        <f aca="false">INDEX(마스터!$E:$E,MATCH(C848,마스터!$A:$A,0))</f>
        <v>5930</v>
      </c>
      <c r="H848" s="0" t="n">
        <f aca="false">D848*G848</f>
        <v>17078400</v>
      </c>
    </row>
    <row r="849" customFormat="false" ht="15" hidden="false" customHeight="false" outlineLevel="0" collapsed="false">
      <c r="A849" s="0" t="s">
        <v>105</v>
      </c>
      <c r="B849" s="1" t="s">
        <v>18</v>
      </c>
      <c r="C849" s="1" t="s">
        <v>76</v>
      </c>
      <c r="D849" s="0" t="n">
        <v>3250</v>
      </c>
      <c r="E849" s="0" t="n">
        <v>9410</v>
      </c>
      <c r="F849" s="0" t="n">
        <f aca="false">D849*E849</f>
        <v>30582500</v>
      </c>
      <c r="G849" s="0" t="n">
        <f aca="false">INDEX(마스터!$E:$E,MATCH(C849,마스터!$A:$A,0))</f>
        <v>4150</v>
      </c>
      <c r="H849" s="0" t="n">
        <f aca="false">D849*G849</f>
        <v>13487500</v>
      </c>
    </row>
    <row r="850" customFormat="false" ht="15" hidden="false" customHeight="false" outlineLevel="0" collapsed="false">
      <c r="A850" s="0" t="s">
        <v>105</v>
      </c>
      <c r="B850" s="1" t="s">
        <v>19</v>
      </c>
      <c r="C850" s="1" t="s">
        <v>77</v>
      </c>
      <c r="D850" s="0" t="n">
        <v>2750</v>
      </c>
      <c r="E850" s="0" t="n">
        <v>11000</v>
      </c>
      <c r="F850" s="0" t="n">
        <f aca="false">D850*E850</f>
        <v>30250000</v>
      </c>
      <c r="G850" s="0" t="n">
        <f aca="false">INDEX(마스터!$E:$E,MATCH(C850,마스터!$A:$A,0))</f>
        <v>5380</v>
      </c>
      <c r="H850" s="0" t="n">
        <f aca="false">D850*G850</f>
        <v>14795000</v>
      </c>
    </row>
    <row r="851" customFormat="false" ht="15" hidden="false" customHeight="false" outlineLevel="0" collapsed="false">
      <c r="A851" s="0" t="s">
        <v>105</v>
      </c>
      <c r="B851" s="1" t="s">
        <v>19</v>
      </c>
      <c r="C851" s="1" t="s">
        <v>59</v>
      </c>
      <c r="D851" s="0" t="n">
        <v>2720</v>
      </c>
      <c r="E851" s="0" t="n">
        <v>12940</v>
      </c>
      <c r="F851" s="0" t="n">
        <f aca="false">D851*E851</f>
        <v>35196800</v>
      </c>
      <c r="G851" s="0" t="n">
        <f aca="false">INDEX(마스터!$E:$E,MATCH(C851,마스터!$A:$A,0))</f>
        <v>6520</v>
      </c>
      <c r="H851" s="0" t="n">
        <f aca="false">D851*G851</f>
        <v>17734400</v>
      </c>
    </row>
    <row r="852" customFormat="false" ht="15" hidden="false" customHeight="false" outlineLevel="0" collapsed="false">
      <c r="A852" s="0" t="s">
        <v>105</v>
      </c>
      <c r="B852" s="1" t="s">
        <v>19</v>
      </c>
      <c r="C852" s="1" t="s">
        <v>60</v>
      </c>
      <c r="D852" s="0" t="n">
        <v>6260</v>
      </c>
      <c r="E852" s="0" t="n">
        <v>12620</v>
      </c>
      <c r="F852" s="0" t="n">
        <f aca="false">D852*E852</f>
        <v>79001200</v>
      </c>
      <c r="G852" s="0" t="n">
        <f aca="false">INDEX(마스터!$E:$E,MATCH(C852,마스터!$A:$A,0))</f>
        <v>6980</v>
      </c>
      <c r="H852" s="0" t="n">
        <f aca="false">D852*G852</f>
        <v>43694800</v>
      </c>
    </row>
    <row r="853" customFormat="false" ht="15" hidden="false" customHeight="false" outlineLevel="0" collapsed="false">
      <c r="A853" s="0" t="s">
        <v>105</v>
      </c>
      <c r="B853" s="1" t="s">
        <v>19</v>
      </c>
      <c r="C853" s="1" t="s">
        <v>66</v>
      </c>
      <c r="D853" s="0" t="n">
        <v>2220</v>
      </c>
      <c r="E853" s="0" t="n">
        <v>11970</v>
      </c>
      <c r="F853" s="0" t="n">
        <f aca="false">D853*E853</f>
        <v>26573400</v>
      </c>
      <c r="G853" s="0" t="n">
        <f aca="false">INDEX(마스터!$E:$E,MATCH(C853,마스터!$A:$A,0))</f>
        <v>6360</v>
      </c>
      <c r="H853" s="0" t="n">
        <f aca="false">D853*G853</f>
        <v>14119200</v>
      </c>
    </row>
    <row r="854" customFormat="false" ht="15" hidden="false" customHeight="false" outlineLevel="0" collapsed="false">
      <c r="A854" s="0" t="s">
        <v>105</v>
      </c>
      <c r="B854" s="1" t="s">
        <v>19</v>
      </c>
      <c r="C854" s="1" t="s">
        <v>47</v>
      </c>
      <c r="D854" s="0" t="n">
        <v>2640</v>
      </c>
      <c r="E854" s="0" t="n">
        <v>8410</v>
      </c>
      <c r="F854" s="0" t="n">
        <f aca="false">D854*E854</f>
        <v>22202400</v>
      </c>
      <c r="G854" s="0" t="n">
        <f aca="false">INDEX(마스터!$E:$E,MATCH(C854,마스터!$A:$A,0))</f>
        <v>4170</v>
      </c>
      <c r="H854" s="0" t="n">
        <f aca="false">D854*G854</f>
        <v>11008800</v>
      </c>
    </row>
    <row r="855" customFormat="false" ht="15" hidden="false" customHeight="false" outlineLevel="0" collapsed="false">
      <c r="A855" s="0" t="s">
        <v>105</v>
      </c>
      <c r="B855" s="1" t="s">
        <v>20</v>
      </c>
      <c r="C855" s="1" t="s">
        <v>59</v>
      </c>
      <c r="D855" s="0" t="n">
        <v>2190</v>
      </c>
      <c r="E855" s="0" t="n">
        <v>13990</v>
      </c>
      <c r="F855" s="0" t="n">
        <f aca="false">D855*E855</f>
        <v>30638100</v>
      </c>
      <c r="G855" s="0" t="n">
        <f aca="false">INDEX(마스터!$E:$E,MATCH(C855,마스터!$A:$A,0))</f>
        <v>6520</v>
      </c>
      <c r="H855" s="0" t="n">
        <f aca="false">D855*G855</f>
        <v>14278800</v>
      </c>
    </row>
    <row r="856" customFormat="false" ht="15" hidden="false" customHeight="false" outlineLevel="0" collapsed="false">
      <c r="A856" s="0" t="s">
        <v>105</v>
      </c>
      <c r="B856" s="1" t="s">
        <v>20</v>
      </c>
      <c r="C856" s="1" t="s">
        <v>65</v>
      </c>
      <c r="D856" s="0" t="n">
        <v>2100</v>
      </c>
      <c r="E856" s="0" t="n">
        <v>14340</v>
      </c>
      <c r="F856" s="0" t="n">
        <f aca="false">D856*E856</f>
        <v>30114000</v>
      </c>
      <c r="G856" s="0" t="n">
        <f aca="false">INDEX(마스터!$E:$E,MATCH(C856,마스터!$A:$A,0))</f>
        <v>6670</v>
      </c>
      <c r="H856" s="0" t="n">
        <f aca="false">D856*G856</f>
        <v>14007000</v>
      </c>
    </row>
    <row r="857" customFormat="false" ht="15" hidden="false" customHeight="false" outlineLevel="0" collapsed="false">
      <c r="A857" s="0" t="s">
        <v>105</v>
      </c>
      <c r="B857" s="1" t="s">
        <v>20</v>
      </c>
      <c r="C857" s="1" t="s">
        <v>55</v>
      </c>
      <c r="D857" s="0" t="n">
        <v>2550</v>
      </c>
      <c r="E857" s="0" t="n">
        <v>12940</v>
      </c>
      <c r="F857" s="0" t="n">
        <f aca="false">D857*E857</f>
        <v>32997000</v>
      </c>
      <c r="G857" s="0" t="n">
        <f aca="false">INDEX(마스터!$E:$E,MATCH(C857,마스터!$A:$A,0))</f>
        <v>6040</v>
      </c>
      <c r="H857" s="0" t="n">
        <f aca="false">D857*G857</f>
        <v>15402000</v>
      </c>
    </row>
    <row r="858" customFormat="false" ht="15" hidden="false" customHeight="false" outlineLevel="0" collapsed="false">
      <c r="A858" s="0" t="s">
        <v>105</v>
      </c>
      <c r="B858" s="1" t="s">
        <v>20</v>
      </c>
      <c r="C858" s="1" t="s">
        <v>68</v>
      </c>
      <c r="D858" s="0" t="n">
        <v>2370</v>
      </c>
      <c r="E858" s="0" t="n">
        <v>10490</v>
      </c>
      <c r="F858" s="0" t="n">
        <f aca="false">D858*E858</f>
        <v>24861300</v>
      </c>
      <c r="G858" s="0" t="n">
        <f aca="false">INDEX(마스터!$E:$E,MATCH(C858,마스터!$A:$A,0))</f>
        <v>4880</v>
      </c>
      <c r="H858" s="0" t="n">
        <f aca="false">D858*G858</f>
        <v>11565600</v>
      </c>
    </row>
    <row r="859" customFormat="false" ht="15" hidden="false" customHeight="false" outlineLevel="0" collapsed="false">
      <c r="A859" s="0" t="s">
        <v>105</v>
      </c>
      <c r="B859" s="1" t="s">
        <v>21</v>
      </c>
      <c r="C859" s="1" t="s">
        <v>82</v>
      </c>
      <c r="D859" s="0" t="n">
        <v>2030</v>
      </c>
      <c r="E859" s="0" t="n">
        <v>11180</v>
      </c>
      <c r="F859" s="0" t="n">
        <f aca="false">D859*E859</f>
        <v>22695400</v>
      </c>
      <c r="G859" s="0" t="n">
        <f aca="false">INDEX(마스터!$E:$E,MATCH(C859,마스터!$A:$A,0))</f>
        <v>5660</v>
      </c>
      <c r="H859" s="0" t="n">
        <f aca="false">D859*G859</f>
        <v>11489800</v>
      </c>
    </row>
    <row r="860" customFormat="false" ht="15" hidden="false" customHeight="false" outlineLevel="0" collapsed="false">
      <c r="A860" s="0" t="s">
        <v>105</v>
      </c>
      <c r="B860" s="1" t="s">
        <v>21</v>
      </c>
      <c r="C860" s="1" t="s">
        <v>45</v>
      </c>
      <c r="D860" s="0" t="n">
        <v>3880</v>
      </c>
      <c r="E860" s="0" t="n">
        <v>12920</v>
      </c>
      <c r="F860" s="0" t="n">
        <f aca="false">D860*E860</f>
        <v>50129600</v>
      </c>
      <c r="G860" s="0" t="n">
        <f aca="false">INDEX(마스터!$E:$E,MATCH(C860,마스터!$A:$A,0))</f>
        <v>6110</v>
      </c>
      <c r="H860" s="0" t="n">
        <f aca="false">D860*G860</f>
        <v>23706800</v>
      </c>
    </row>
    <row r="861" customFormat="false" ht="15" hidden="false" customHeight="false" outlineLevel="0" collapsed="false">
      <c r="A861" s="0" t="s">
        <v>105</v>
      </c>
      <c r="B861" s="1" t="s">
        <v>21</v>
      </c>
      <c r="C861" s="1" t="s">
        <v>48</v>
      </c>
      <c r="D861" s="0" t="n">
        <v>3370</v>
      </c>
      <c r="E861" s="0" t="n">
        <v>12920</v>
      </c>
      <c r="F861" s="0" t="n">
        <f aca="false">D861*E861</f>
        <v>43540400</v>
      </c>
      <c r="G861" s="0" t="n">
        <f aca="false">INDEX(마스터!$E:$E,MATCH(C861,마스터!$A:$A,0))</f>
        <v>6440</v>
      </c>
      <c r="H861" s="0" t="n">
        <f aca="false">D861*G861</f>
        <v>21702800</v>
      </c>
    </row>
    <row r="862" customFormat="false" ht="15" hidden="false" customHeight="false" outlineLevel="0" collapsed="false">
      <c r="A862" s="0" t="s">
        <v>105</v>
      </c>
      <c r="B862" s="1" t="s">
        <v>22</v>
      </c>
      <c r="C862" s="1" t="s">
        <v>48</v>
      </c>
      <c r="D862" s="0" t="n">
        <v>4310</v>
      </c>
      <c r="E862" s="0" t="n">
        <v>13010</v>
      </c>
      <c r="F862" s="0" t="n">
        <f aca="false">D862*E862</f>
        <v>56073100</v>
      </c>
      <c r="G862" s="0" t="n">
        <f aca="false">INDEX(마스터!$E:$E,MATCH(C862,마스터!$A:$A,0))</f>
        <v>6440</v>
      </c>
      <c r="H862" s="0" t="n">
        <f aca="false">D862*G862</f>
        <v>27756400</v>
      </c>
    </row>
    <row r="863" customFormat="false" ht="15" hidden="false" customHeight="false" outlineLevel="0" collapsed="false">
      <c r="A863" s="0" t="s">
        <v>105</v>
      </c>
      <c r="B863" s="1" t="s">
        <v>22</v>
      </c>
      <c r="C863" s="1" t="s">
        <v>43</v>
      </c>
      <c r="D863" s="0" t="n">
        <v>3050</v>
      </c>
      <c r="E863" s="0" t="n">
        <v>12650</v>
      </c>
      <c r="F863" s="0" t="n">
        <f aca="false">D863*E863</f>
        <v>38582500</v>
      </c>
      <c r="G863" s="0" t="n">
        <f aca="false">INDEX(마스터!$E:$E,MATCH(C863,마스터!$A:$A,0))</f>
        <v>6350</v>
      </c>
      <c r="H863" s="0" t="n">
        <f aca="false">D863*G863</f>
        <v>19367500</v>
      </c>
    </row>
    <row r="864" customFormat="false" ht="15" hidden="false" customHeight="false" outlineLevel="0" collapsed="false">
      <c r="A864" s="0" t="s">
        <v>105</v>
      </c>
      <c r="B864" s="1" t="s">
        <v>23</v>
      </c>
      <c r="C864" s="1" t="s">
        <v>86</v>
      </c>
      <c r="D864" s="0" t="n">
        <v>3410</v>
      </c>
      <c r="E864" s="0" t="n">
        <v>12900</v>
      </c>
      <c r="F864" s="0" t="n">
        <f aca="false">D864*E864</f>
        <v>43989000</v>
      </c>
      <c r="G864" s="0" t="n">
        <f aca="false">INDEX(마스터!$E:$E,MATCH(C864,마스터!$A:$A,0))</f>
        <v>6430</v>
      </c>
      <c r="H864" s="0" t="n">
        <f aca="false">D864*G864</f>
        <v>21926300</v>
      </c>
    </row>
    <row r="865" customFormat="false" ht="15" hidden="false" customHeight="false" outlineLevel="0" collapsed="false">
      <c r="A865" s="0" t="s">
        <v>105</v>
      </c>
      <c r="B865" s="1" t="s">
        <v>23</v>
      </c>
      <c r="C865" s="1" t="s">
        <v>59</v>
      </c>
      <c r="D865" s="0" t="n">
        <v>3110</v>
      </c>
      <c r="E865" s="0" t="n">
        <v>13940</v>
      </c>
      <c r="F865" s="0" t="n">
        <f aca="false">D865*E865</f>
        <v>43353400</v>
      </c>
      <c r="G865" s="0" t="n">
        <f aca="false">INDEX(마스터!$E:$E,MATCH(C865,마스터!$A:$A,0))</f>
        <v>6520</v>
      </c>
      <c r="H865" s="0" t="n">
        <f aca="false">D865*G865</f>
        <v>20277200</v>
      </c>
    </row>
    <row r="866" customFormat="false" ht="15" hidden="false" customHeight="false" outlineLevel="0" collapsed="false">
      <c r="A866" s="0" t="s">
        <v>105</v>
      </c>
      <c r="B866" s="1" t="s">
        <v>25</v>
      </c>
      <c r="C866" s="1" t="s">
        <v>42</v>
      </c>
      <c r="D866" s="0" t="n">
        <v>3580</v>
      </c>
      <c r="E866" s="0" t="n">
        <v>13310</v>
      </c>
      <c r="F866" s="0" t="n">
        <f aca="false">D866*E866</f>
        <v>47649800</v>
      </c>
      <c r="G866" s="0" t="n">
        <f aca="false">INDEX(마스터!$E:$E,MATCH(C866,마스터!$A:$A,0))</f>
        <v>6730</v>
      </c>
      <c r="H866" s="0" t="n">
        <f aca="false">D866*G866</f>
        <v>24093400</v>
      </c>
    </row>
    <row r="867" customFormat="false" ht="15" hidden="false" customHeight="false" outlineLevel="0" collapsed="false">
      <c r="A867" s="0" t="s">
        <v>105</v>
      </c>
      <c r="B867" s="1" t="s">
        <v>25</v>
      </c>
      <c r="C867" s="1" t="s">
        <v>90</v>
      </c>
      <c r="D867" s="0" t="n">
        <v>1780</v>
      </c>
      <c r="E867" s="0" t="n">
        <v>11560</v>
      </c>
      <c r="F867" s="0" t="n">
        <f aca="false">D867*E867</f>
        <v>20576800</v>
      </c>
      <c r="G867" s="0" t="n">
        <f aca="false">INDEX(마스터!$E:$E,MATCH(C867,마스터!$A:$A,0))</f>
        <v>5290</v>
      </c>
      <c r="H867" s="0" t="n">
        <f aca="false">D867*G867</f>
        <v>9416200</v>
      </c>
    </row>
    <row r="868" customFormat="false" ht="15" hidden="false" customHeight="false" outlineLevel="0" collapsed="false">
      <c r="A868" s="0" t="s">
        <v>105</v>
      </c>
      <c r="B868" s="1" t="s">
        <v>24</v>
      </c>
      <c r="C868" s="1" t="s">
        <v>59</v>
      </c>
      <c r="D868" s="0" t="n">
        <v>2840</v>
      </c>
      <c r="E868" s="0" t="n">
        <v>14040</v>
      </c>
      <c r="F868" s="0" t="n">
        <f aca="false">D868*E868</f>
        <v>39873600</v>
      </c>
      <c r="G868" s="0" t="n">
        <f aca="false">INDEX(마스터!$E:$E,MATCH(C868,마스터!$A:$A,0))</f>
        <v>6520</v>
      </c>
      <c r="H868" s="0" t="n">
        <f aca="false">D868*G868</f>
        <v>18516800</v>
      </c>
    </row>
    <row r="869" customFormat="false" ht="15" hidden="false" customHeight="false" outlineLevel="0" collapsed="false">
      <c r="A869" s="0" t="s">
        <v>105</v>
      </c>
      <c r="B869" s="1" t="s">
        <v>24</v>
      </c>
      <c r="C869" s="1" t="s">
        <v>42</v>
      </c>
      <c r="D869" s="0" t="n">
        <v>2510</v>
      </c>
      <c r="E869" s="0" t="n">
        <v>13340</v>
      </c>
      <c r="F869" s="0" t="n">
        <f aca="false">D869*E869</f>
        <v>33483400</v>
      </c>
      <c r="G869" s="0" t="n">
        <f aca="false">INDEX(마스터!$E:$E,MATCH(C869,마스터!$A:$A,0))</f>
        <v>6730</v>
      </c>
      <c r="H869" s="0" t="n">
        <f aca="false">D869*G869</f>
        <v>16892300</v>
      </c>
    </row>
    <row r="870" customFormat="false" ht="15" hidden="false" customHeight="false" outlineLevel="0" collapsed="false">
      <c r="A870" s="0" t="s">
        <v>106</v>
      </c>
      <c r="B870" s="1" t="s">
        <v>14</v>
      </c>
      <c r="C870" s="1" t="s">
        <v>45</v>
      </c>
      <c r="D870" s="0" t="n">
        <v>17170</v>
      </c>
      <c r="E870" s="0" t="n">
        <v>11920</v>
      </c>
      <c r="F870" s="0" t="n">
        <f aca="false">D870*E870</f>
        <v>204666400</v>
      </c>
      <c r="G870" s="0" t="n">
        <f aca="false">INDEX(마스터!$E:$E,MATCH(C870,마스터!$A:$A,0))</f>
        <v>6110</v>
      </c>
      <c r="H870" s="0" t="n">
        <f aca="false">D870*G870</f>
        <v>104908700</v>
      </c>
    </row>
    <row r="871" customFormat="false" ht="15" hidden="false" customHeight="false" outlineLevel="0" collapsed="false">
      <c r="A871" s="0" t="s">
        <v>106</v>
      </c>
      <c r="B871" s="1" t="s">
        <v>14</v>
      </c>
      <c r="C871" s="1" t="s">
        <v>41</v>
      </c>
      <c r="D871" s="0" t="n">
        <v>7290</v>
      </c>
      <c r="E871" s="0" t="n">
        <v>10950</v>
      </c>
      <c r="F871" s="0" t="n">
        <f aca="false">D871*E871</f>
        <v>79825500</v>
      </c>
      <c r="G871" s="0" t="n">
        <f aca="false">INDEX(마스터!$E:$E,MATCH(C871,마스터!$A:$A,0))</f>
        <v>5480</v>
      </c>
      <c r="H871" s="0" t="n">
        <f aca="false">D871*G871</f>
        <v>39949200</v>
      </c>
    </row>
    <row r="872" customFormat="false" ht="15" hidden="false" customHeight="false" outlineLevel="0" collapsed="false">
      <c r="A872" s="0" t="s">
        <v>106</v>
      </c>
      <c r="B872" s="1" t="s">
        <v>14</v>
      </c>
      <c r="C872" s="1" t="s">
        <v>46</v>
      </c>
      <c r="D872" s="0" t="n">
        <v>5370</v>
      </c>
      <c r="E872" s="0" t="n">
        <v>13210</v>
      </c>
      <c r="F872" s="0" t="n">
        <f aca="false">D872*E872</f>
        <v>70937700</v>
      </c>
      <c r="G872" s="0" t="n">
        <f aca="false">INDEX(마스터!$E:$E,MATCH(C872,마스터!$A:$A,0))</f>
        <v>6910</v>
      </c>
      <c r="H872" s="0" t="n">
        <f aca="false">D872*G872</f>
        <v>37106700</v>
      </c>
    </row>
    <row r="873" customFormat="false" ht="15" hidden="false" customHeight="false" outlineLevel="0" collapsed="false">
      <c r="A873" s="0" t="s">
        <v>106</v>
      </c>
      <c r="B873" s="1" t="s">
        <v>14</v>
      </c>
      <c r="C873" s="1" t="s">
        <v>54</v>
      </c>
      <c r="D873" s="0" t="n">
        <v>3670</v>
      </c>
      <c r="E873" s="0" t="n">
        <v>12240</v>
      </c>
      <c r="F873" s="0" t="n">
        <f aca="false">D873*E873</f>
        <v>44920800</v>
      </c>
      <c r="G873" s="0" t="n">
        <f aca="false">INDEX(마스터!$E:$E,MATCH(C873,마스터!$A:$A,0))</f>
        <v>6790</v>
      </c>
      <c r="H873" s="0" t="n">
        <f aca="false">D873*G873</f>
        <v>24919300</v>
      </c>
    </row>
    <row r="874" customFormat="false" ht="15" hidden="false" customHeight="false" outlineLevel="0" collapsed="false">
      <c r="A874" s="0" t="s">
        <v>106</v>
      </c>
      <c r="B874" s="1" t="s">
        <v>14</v>
      </c>
      <c r="C874" s="1" t="s">
        <v>48</v>
      </c>
      <c r="D874" s="0" t="n">
        <v>5960</v>
      </c>
      <c r="E874" s="0" t="n">
        <v>11920</v>
      </c>
      <c r="F874" s="0" t="n">
        <f aca="false">D874*E874</f>
        <v>71043200</v>
      </c>
      <c r="G874" s="0" t="n">
        <f aca="false">INDEX(마스터!$E:$E,MATCH(C874,마스터!$A:$A,0))</f>
        <v>6440</v>
      </c>
      <c r="H874" s="0" t="n">
        <f aca="false">D874*G874</f>
        <v>38382400</v>
      </c>
    </row>
    <row r="875" customFormat="false" ht="15" hidden="false" customHeight="false" outlineLevel="0" collapsed="false">
      <c r="A875" s="0" t="s">
        <v>106</v>
      </c>
      <c r="B875" s="1" t="s">
        <v>14</v>
      </c>
      <c r="C875" s="1" t="s">
        <v>36</v>
      </c>
      <c r="D875" s="0" t="n">
        <v>5240</v>
      </c>
      <c r="E875" s="0" t="n">
        <v>9340</v>
      </c>
      <c r="F875" s="0" t="n">
        <f aca="false">D875*E875</f>
        <v>48941600</v>
      </c>
      <c r="G875" s="0" t="n">
        <f aca="false">INDEX(마스터!$E:$E,MATCH(C875,마스터!$A:$A,0))</f>
        <v>4540</v>
      </c>
      <c r="H875" s="0" t="n">
        <f aca="false">D875*G875</f>
        <v>23789600</v>
      </c>
    </row>
    <row r="876" customFormat="false" ht="15" hidden="false" customHeight="false" outlineLevel="0" collapsed="false">
      <c r="A876" s="0" t="s">
        <v>106</v>
      </c>
      <c r="B876" s="1" t="s">
        <v>15</v>
      </c>
      <c r="C876" s="1" t="s">
        <v>45</v>
      </c>
      <c r="D876" s="0" t="n">
        <v>11700</v>
      </c>
      <c r="E876" s="0" t="n">
        <v>12000</v>
      </c>
      <c r="F876" s="0" t="n">
        <f aca="false">D876*E876</f>
        <v>140400000</v>
      </c>
      <c r="G876" s="0" t="n">
        <f aca="false">INDEX(마스터!$E:$E,MATCH(C876,마스터!$A:$A,0))</f>
        <v>6110</v>
      </c>
      <c r="H876" s="0" t="n">
        <f aca="false">D876*G876</f>
        <v>71487000</v>
      </c>
    </row>
    <row r="877" customFormat="false" ht="15" hidden="false" customHeight="false" outlineLevel="0" collapsed="false">
      <c r="A877" s="0" t="s">
        <v>106</v>
      </c>
      <c r="B877" s="1" t="s">
        <v>15</v>
      </c>
      <c r="C877" s="1" t="s">
        <v>38</v>
      </c>
      <c r="D877" s="0" t="n">
        <v>6490</v>
      </c>
      <c r="E877" s="0" t="n">
        <v>11350</v>
      </c>
      <c r="F877" s="0" t="n">
        <f aca="false">D877*E877</f>
        <v>73661500</v>
      </c>
      <c r="G877" s="0" t="n">
        <f aca="false">INDEX(마스터!$E:$E,MATCH(C877,마스터!$A:$A,0))</f>
        <v>5670</v>
      </c>
      <c r="H877" s="0" t="n">
        <f aca="false">D877*G877</f>
        <v>36798300</v>
      </c>
    </row>
    <row r="878" customFormat="false" ht="15" hidden="false" customHeight="false" outlineLevel="0" collapsed="false">
      <c r="A878" s="0" t="s">
        <v>106</v>
      </c>
      <c r="B878" s="1" t="s">
        <v>15</v>
      </c>
      <c r="C878" s="1" t="s">
        <v>60</v>
      </c>
      <c r="D878" s="0" t="n">
        <v>5550</v>
      </c>
      <c r="E878" s="0" t="n">
        <v>12650</v>
      </c>
      <c r="F878" s="0" t="n">
        <f aca="false">D878*E878</f>
        <v>70207500</v>
      </c>
      <c r="G878" s="0" t="n">
        <f aca="false">INDEX(마스터!$E:$E,MATCH(C878,마스터!$A:$A,0))</f>
        <v>6980</v>
      </c>
      <c r="H878" s="0" t="n">
        <f aca="false">D878*G878</f>
        <v>38739000</v>
      </c>
    </row>
    <row r="879" customFormat="false" ht="15" hidden="false" customHeight="false" outlineLevel="0" collapsed="false">
      <c r="A879" s="0" t="s">
        <v>106</v>
      </c>
      <c r="B879" s="1" t="s">
        <v>15</v>
      </c>
      <c r="C879" s="1" t="s">
        <v>42</v>
      </c>
      <c r="D879" s="0" t="n">
        <v>5510</v>
      </c>
      <c r="E879" s="0" t="n">
        <v>12330</v>
      </c>
      <c r="F879" s="0" t="n">
        <f aca="false">D879*E879</f>
        <v>67938300</v>
      </c>
      <c r="G879" s="0" t="n">
        <f aca="false">INDEX(마스터!$E:$E,MATCH(C879,마스터!$A:$A,0))</f>
        <v>6730</v>
      </c>
      <c r="H879" s="0" t="n">
        <f aca="false">D879*G879</f>
        <v>37082300</v>
      </c>
    </row>
    <row r="880" customFormat="false" ht="15" hidden="false" customHeight="false" outlineLevel="0" collapsed="false">
      <c r="A880" s="0" t="s">
        <v>106</v>
      </c>
      <c r="B880" s="1" t="s">
        <v>15</v>
      </c>
      <c r="C880" s="1" t="s">
        <v>55</v>
      </c>
      <c r="D880" s="0" t="n">
        <v>5580</v>
      </c>
      <c r="E880" s="0" t="n">
        <v>12000</v>
      </c>
      <c r="F880" s="0" t="n">
        <f aca="false">D880*E880</f>
        <v>66960000</v>
      </c>
      <c r="G880" s="0" t="n">
        <f aca="false">INDEX(마스터!$E:$E,MATCH(C880,마스터!$A:$A,0))</f>
        <v>6040</v>
      </c>
      <c r="H880" s="0" t="n">
        <f aca="false">D880*G880</f>
        <v>33703200</v>
      </c>
    </row>
    <row r="881" customFormat="false" ht="15" hidden="false" customHeight="false" outlineLevel="0" collapsed="false">
      <c r="A881" s="0" t="s">
        <v>106</v>
      </c>
      <c r="B881" s="1" t="s">
        <v>15</v>
      </c>
      <c r="C881" s="1" t="s">
        <v>71</v>
      </c>
      <c r="D881" s="0" t="n">
        <v>4800</v>
      </c>
      <c r="E881" s="0" t="n">
        <v>8430</v>
      </c>
      <c r="F881" s="0" t="n">
        <f aca="false">D881*E881</f>
        <v>40464000</v>
      </c>
      <c r="G881" s="0" t="n">
        <f aca="false">INDEX(마스터!$E:$E,MATCH(C881,마스터!$A:$A,0))</f>
        <v>4330</v>
      </c>
      <c r="H881" s="0" t="n">
        <f aca="false">D881*G881</f>
        <v>20784000</v>
      </c>
    </row>
    <row r="882" customFormat="false" ht="15" hidden="false" customHeight="false" outlineLevel="0" collapsed="false">
      <c r="A882" s="0" t="s">
        <v>106</v>
      </c>
      <c r="B882" s="1" t="s">
        <v>16</v>
      </c>
      <c r="C882" s="1" t="s">
        <v>45</v>
      </c>
      <c r="D882" s="0" t="n">
        <v>8690</v>
      </c>
      <c r="E882" s="0" t="n">
        <v>12880</v>
      </c>
      <c r="F882" s="0" t="n">
        <f aca="false">D882*E882</f>
        <v>111927200</v>
      </c>
      <c r="G882" s="0" t="n">
        <f aca="false">INDEX(마스터!$E:$E,MATCH(C882,마스터!$A:$A,0))</f>
        <v>6110</v>
      </c>
      <c r="H882" s="0" t="n">
        <f aca="false">D882*G882</f>
        <v>53095900</v>
      </c>
    </row>
    <row r="883" customFormat="false" ht="15" hidden="false" customHeight="false" outlineLevel="0" collapsed="false">
      <c r="A883" s="0" t="s">
        <v>106</v>
      </c>
      <c r="B883" s="1" t="s">
        <v>16</v>
      </c>
      <c r="C883" s="1" t="s">
        <v>41</v>
      </c>
      <c r="D883" s="0" t="n">
        <v>6320</v>
      </c>
      <c r="E883" s="0" t="n">
        <v>11840</v>
      </c>
      <c r="F883" s="0" t="n">
        <f aca="false">D883*E883</f>
        <v>74828800</v>
      </c>
      <c r="G883" s="0" t="n">
        <f aca="false">INDEX(마스터!$E:$E,MATCH(C883,마스터!$A:$A,0))</f>
        <v>5480</v>
      </c>
      <c r="H883" s="0" t="n">
        <f aca="false">D883*G883</f>
        <v>34633600</v>
      </c>
    </row>
    <row r="884" customFormat="false" ht="15" hidden="false" customHeight="false" outlineLevel="0" collapsed="false">
      <c r="A884" s="0" t="s">
        <v>106</v>
      </c>
      <c r="B884" s="1" t="s">
        <v>16</v>
      </c>
      <c r="C884" s="1" t="s">
        <v>66</v>
      </c>
      <c r="D884" s="0" t="n">
        <v>4710</v>
      </c>
      <c r="E884" s="0" t="n">
        <v>12880</v>
      </c>
      <c r="F884" s="0" t="n">
        <f aca="false">D884*E884</f>
        <v>60664800</v>
      </c>
      <c r="G884" s="0" t="n">
        <f aca="false">INDEX(마스터!$E:$E,MATCH(C884,마스터!$A:$A,0))</f>
        <v>6360</v>
      </c>
      <c r="H884" s="0" t="n">
        <f aca="false">D884*G884</f>
        <v>29955600</v>
      </c>
    </row>
    <row r="885" customFormat="false" ht="15" hidden="false" customHeight="false" outlineLevel="0" collapsed="false">
      <c r="A885" s="0" t="s">
        <v>106</v>
      </c>
      <c r="B885" s="1" t="s">
        <v>16</v>
      </c>
      <c r="C885" s="1" t="s">
        <v>90</v>
      </c>
      <c r="D885" s="0" t="n">
        <v>3930</v>
      </c>
      <c r="E885" s="0" t="n">
        <v>11490</v>
      </c>
      <c r="F885" s="0" t="n">
        <f aca="false">D885*E885</f>
        <v>45155700</v>
      </c>
      <c r="G885" s="0" t="n">
        <f aca="false">INDEX(마스터!$E:$E,MATCH(C885,마스터!$A:$A,0))</f>
        <v>5290</v>
      </c>
      <c r="H885" s="0" t="n">
        <f aca="false">D885*G885</f>
        <v>20789700</v>
      </c>
    </row>
    <row r="886" customFormat="false" ht="15" hidden="false" customHeight="false" outlineLevel="0" collapsed="false">
      <c r="A886" s="0" t="s">
        <v>106</v>
      </c>
      <c r="B886" s="1" t="s">
        <v>16</v>
      </c>
      <c r="C886" s="1" t="s">
        <v>68</v>
      </c>
      <c r="D886" s="0" t="n">
        <v>6730</v>
      </c>
      <c r="E886" s="0" t="n">
        <v>10440</v>
      </c>
      <c r="F886" s="0" t="n">
        <f aca="false">D886*E886</f>
        <v>70261200</v>
      </c>
      <c r="G886" s="0" t="n">
        <f aca="false">INDEX(마스터!$E:$E,MATCH(C886,마스터!$A:$A,0))</f>
        <v>4880</v>
      </c>
      <c r="H886" s="0" t="n">
        <f aca="false">D886*G886</f>
        <v>32842400</v>
      </c>
    </row>
    <row r="887" customFormat="false" ht="15" hidden="false" customHeight="false" outlineLevel="0" collapsed="false">
      <c r="A887" s="0" t="s">
        <v>106</v>
      </c>
      <c r="B887" s="1" t="s">
        <v>17</v>
      </c>
      <c r="C887" s="1" t="s">
        <v>45</v>
      </c>
      <c r="D887" s="0" t="n">
        <v>7390</v>
      </c>
      <c r="E887" s="0" t="n">
        <v>11920</v>
      </c>
      <c r="F887" s="0" t="n">
        <f aca="false">D887*E887</f>
        <v>88088800</v>
      </c>
      <c r="G887" s="0" t="n">
        <f aca="false">INDEX(마스터!$E:$E,MATCH(C887,마스터!$A:$A,0))</f>
        <v>6110</v>
      </c>
      <c r="H887" s="0" t="n">
        <f aca="false">D887*G887</f>
        <v>45152900</v>
      </c>
    </row>
    <row r="888" customFormat="false" ht="15" hidden="false" customHeight="false" outlineLevel="0" collapsed="false">
      <c r="A888" s="0" t="s">
        <v>106</v>
      </c>
      <c r="B888" s="1" t="s">
        <v>17</v>
      </c>
      <c r="C888" s="1" t="s">
        <v>69</v>
      </c>
      <c r="D888" s="0" t="n">
        <v>3090</v>
      </c>
      <c r="E888" s="0" t="n">
        <v>11590</v>
      </c>
      <c r="F888" s="0" t="n">
        <f aca="false">D888*E888</f>
        <v>35813100</v>
      </c>
      <c r="G888" s="0" t="n">
        <f aca="false">INDEX(마스터!$E:$E,MATCH(C888,마스터!$A:$A,0))</f>
        <v>6140</v>
      </c>
      <c r="H888" s="0" t="n">
        <f aca="false">D888*G888</f>
        <v>18972600</v>
      </c>
    </row>
    <row r="889" customFormat="false" ht="15" hidden="false" customHeight="false" outlineLevel="0" collapsed="false">
      <c r="A889" s="0" t="s">
        <v>106</v>
      </c>
      <c r="B889" s="1" t="s">
        <v>17</v>
      </c>
      <c r="C889" s="1" t="s">
        <v>48</v>
      </c>
      <c r="D889" s="0" t="n">
        <v>5300</v>
      </c>
      <c r="E889" s="0" t="n">
        <v>11920</v>
      </c>
      <c r="F889" s="0" t="n">
        <f aca="false">D889*E889</f>
        <v>63176000</v>
      </c>
      <c r="G889" s="0" t="n">
        <f aca="false">INDEX(마스터!$E:$E,MATCH(C889,마스터!$A:$A,0))</f>
        <v>6440</v>
      </c>
      <c r="H889" s="0" t="n">
        <f aca="false">D889*G889</f>
        <v>34132000</v>
      </c>
    </row>
    <row r="890" customFormat="false" ht="15" hidden="false" customHeight="false" outlineLevel="0" collapsed="false">
      <c r="A890" s="0" t="s">
        <v>106</v>
      </c>
      <c r="B890" s="1" t="s">
        <v>17</v>
      </c>
      <c r="C890" s="1" t="s">
        <v>55</v>
      </c>
      <c r="D890" s="0" t="n">
        <v>4480</v>
      </c>
      <c r="E890" s="0" t="n">
        <v>11920</v>
      </c>
      <c r="F890" s="0" t="n">
        <f aca="false">D890*E890</f>
        <v>53401600</v>
      </c>
      <c r="G890" s="0" t="n">
        <f aca="false">INDEX(마스터!$E:$E,MATCH(C890,마스터!$A:$A,0))</f>
        <v>6040</v>
      </c>
      <c r="H890" s="0" t="n">
        <f aca="false">D890*G890</f>
        <v>27059200</v>
      </c>
    </row>
    <row r="891" customFormat="false" ht="15" hidden="false" customHeight="false" outlineLevel="0" collapsed="false">
      <c r="A891" s="0" t="s">
        <v>106</v>
      </c>
      <c r="B891" s="1" t="s">
        <v>17</v>
      </c>
      <c r="C891" s="1" t="s">
        <v>66</v>
      </c>
      <c r="D891" s="0" t="n">
        <v>4940</v>
      </c>
      <c r="E891" s="0" t="n">
        <v>11920</v>
      </c>
      <c r="F891" s="0" t="n">
        <f aca="false">D891*E891</f>
        <v>58884800</v>
      </c>
      <c r="G891" s="0" t="n">
        <f aca="false">INDEX(마스터!$E:$E,MATCH(C891,마스터!$A:$A,0))</f>
        <v>6360</v>
      </c>
      <c r="H891" s="0" t="n">
        <f aca="false">D891*G891</f>
        <v>31418400</v>
      </c>
    </row>
    <row r="892" customFormat="false" ht="15" hidden="false" customHeight="false" outlineLevel="0" collapsed="false">
      <c r="A892" s="0" t="s">
        <v>106</v>
      </c>
      <c r="B892" s="1" t="s">
        <v>18</v>
      </c>
      <c r="C892" s="1" t="s">
        <v>45</v>
      </c>
      <c r="D892" s="0" t="n">
        <v>6680</v>
      </c>
      <c r="E892" s="0" t="n">
        <v>12850</v>
      </c>
      <c r="F892" s="0" t="n">
        <f aca="false">D892*E892</f>
        <v>85838000</v>
      </c>
      <c r="G892" s="0" t="n">
        <f aca="false">INDEX(마스터!$E:$E,MATCH(C892,마스터!$A:$A,0))</f>
        <v>6110</v>
      </c>
      <c r="H892" s="0" t="n">
        <f aca="false">D892*G892</f>
        <v>40814800</v>
      </c>
    </row>
    <row r="893" customFormat="false" ht="15" hidden="false" customHeight="false" outlineLevel="0" collapsed="false">
      <c r="A893" s="0" t="s">
        <v>106</v>
      </c>
      <c r="B893" s="1" t="s">
        <v>18</v>
      </c>
      <c r="C893" s="1" t="s">
        <v>48</v>
      </c>
      <c r="D893" s="0" t="n">
        <v>4700</v>
      </c>
      <c r="E893" s="0" t="n">
        <v>12850</v>
      </c>
      <c r="F893" s="0" t="n">
        <f aca="false">D893*E893</f>
        <v>60395000</v>
      </c>
      <c r="G893" s="0" t="n">
        <f aca="false">INDEX(마스터!$E:$E,MATCH(C893,마스터!$A:$A,0))</f>
        <v>6440</v>
      </c>
      <c r="H893" s="0" t="n">
        <f aca="false">D893*G893</f>
        <v>30268000</v>
      </c>
    </row>
    <row r="894" customFormat="false" ht="15" hidden="false" customHeight="false" outlineLevel="0" collapsed="false">
      <c r="A894" s="0" t="s">
        <v>106</v>
      </c>
      <c r="B894" s="1" t="s">
        <v>18</v>
      </c>
      <c r="C894" s="1" t="s">
        <v>51</v>
      </c>
      <c r="D894" s="0" t="n">
        <v>5900</v>
      </c>
      <c r="E894" s="0" t="n">
        <v>14240</v>
      </c>
      <c r="F894" s="0" t="n">
        <f aca="false">D894*E894</f>
        <v>84016000</v>
      </c>
      <c r="G894" s="0" t="n">
        <f aca="false">INDEX(마스터!$E:$E,MATCH(C894,마스터!$A:$A,0))</f>
        <v>7480</v>
      </c>
      <c r="H894" s="0" t="n">
        <f aca="false">D894*G894</f>
        <v>44132000</v>
      </c>
    </row>
    <row r="895" customFormat="false" ht="15" hidden="false" customHeight="false" outlineLevel="0" collapsed="false">
      <c r="A895" s="0" t="s">
        <v>106</v>
      </c>
      <c r="B895" s="1" t="s">
        <v>18</v>
      </c>
      <c r="C895" s="1" t="s">
        <v>36</v>
      </c>
      <c r="D895" s="0" t="n">
        <v>3650</v>
      </c>
      <c r="E895" s="0" t="n">
        <v>10070</v>
      </c>
      <c r="F895" s="0" t="n">
        <f aca="false">D895*E895</f>
        <v>36755500</v>
      </c>
      <c r="G895" s="0" t="n">
        <f aca="false">INDEX(마스터!$E:$E,MATCH(C895,마스터!$A:$A,0))</f>
        <v>4540</v>
      </c>
      <c r="H895" s="0" t="n">
        <f aca="false">D895*G895</f>
        <v>16571000</v>
      </c>
    </row>
    <row r="896" customFormat="false" ht="15" hidden="false" customHeight="false" outlineLevel="0" collapsed="false">
      <c r="A896" s="0" t="s">
        <v>106</v>
      </c>
      <c r="B896" s="1" t="s">
        <v>19</v>
      </c>
      <c r="C896" s="1" t="s">
        <v>79</v>
      </c>
      <c r="D896" s="0" t="n">
        <v>2770</v>
      </c>
      <c r="E896" s="0" t="n">
        <v>11020</v>
      </c>
      <c r="F896" s="0" t="n">
        <f aca="false">D896*E896</f>
        <v>30525400</v>
      </c>
      <c r="G896" s="0" t="n">
        <f aca="false">INDEX(마스터!$E:$E,MATCH(C896,마스터!$A:$A,0))</f>
        <v>5990</v>
      </c>
      <c r="H896" s="0" t="n">
        <f aca="false">D896*G896</f>
        <v>16592300</v>
      </c>
    </row>
    <row r="897" customFormat="false" ht="15" hidden="false" customHeight="false" outlineLevel="0" collapsed="false">
      <c r="A897" s="0" t="s">
        <v>106</v>
      </c>
      <c r="B897" s="1" t="s">
        <v>19</v>
      </c>
      <c r="C897" s="1" t="s">
        <v>54</v>
      </c>
      <c r="D897" s="0" t="n">
        <v>2160</v>
      </c>
      <c r="E897" s="0" t="n">
        <v>12320</v>
      </c>
      <c r="F897" s="0" t="n">
        <f aca="false">D897*E897</f>
        <v>26611200</v>
      </c>
      <c r="G897" s="0" t="n">
        <f aca="false">INDEX(마스터!$E:$E,MATCH(C897,마스터!$A:$A,0))</f>
        <v>6790</v>
      </c>
      <c r="H897" s="0" t="n">
        <f aca="false">D897*G897</f>
        <v>14666400</v>
      </c>
    </row>
    <row r="898" customFormat="false" ht="15" hidden="false" customHeight="false" outlineLevel="0" collapsed="false">
      <c r="A898" s="0" t="s">
        <v>106</v>
      </c>
      <c r="B898" s="1" t="s">
        <v>19</v>
      </c>
      <c r="C898" s="1" t="s">
        <v>55</v>
      </c>
      <c r="D898" s="0" t="n">
        <v>3680</v>
      </c>
      <c r="E898" s="0" t="n">
        <v>11990</v>
      </c>
      <c r="F898" s="0" t="n">
        <f aca="false">D898*E898</f>
        <v>44123200</v>
      </c>
      <c r="G898" s="0" t="n">
        <f aca="false">INDEX(마스터!$E:$E,MATCH(C898,마스터!$A:$A,0))</f>
        <v>6040</v>
      </c>
      <c r="H898" s="0" t="n">
        <f aca="false">D898*G898</f>
        <v>22227200</v>
      </c>
    </row>
    <row r="899" customFormat="false" ht="15" hidden="false" customHeight="false" outlineLevel="0" collapsed="false">
      <c r="A899" s="0" t="s">
        <v>106</v>
      </c>
      <c r="B899" s="1" t="s">
        <v>19</v>
      </c>
      <c r="C899" s="1" t="s">
        <v>51</v>
      </c>
      <c r="D899" s="0" t="n">
        <v>3960</v>
      </c>
      <c r="E899" s="0" t="n">
        <v>13290</v>
      </c>
      <c r="F899" s="0" t="n">
        <f aca="false">D899*E899</f>
        <v>52628400</v>
      </c>
      <c r="G899" s="0" t="n">
        <f aca="false">INDEX(마스터!$E:$E,MATCH(C899,마스터!$A:$A,0))</f>
        <v>7480</v>
      </c>
      <c r="H899" s="0" t="n">
        <f aca="false">D899*G899</f>
        <v>29620800</v>
      </c>
    </row>
    <row r="900" customFormat="false" ht="15" hidden="false" customHeight="false" outlineLevel="0" collapsed="false">
      <c r="A900" s="0" t="s">
        <v>106</v>
      </c>
      <c r="B900" s="1" t="s">
        <v>19</v>
      </c>
      <c r="C900" s="1" t="s">
        <v>47</v>
      </c>
      <c r="D900" s="0" t="n">
        <v>3550</v>
      </c>
      <c r="E900" s="0" t="n">
        <v>8430</v>
      </c>
      <c r="F900" s="0" t="n">
        <f aca="false">D900*E900</f>
        <v>29926500</v>
      </c>
      <c r="G900" s="0" t="n">
        <f aca="false">INDEX(마스터!$E:$E,MATCH(C900,마스터!$A:$A,0))</f>
        <v>4170</v>
      </c>
      <c r="H900" s="0" t="n">
        <f aca="false">D900*G900</f>
        <v>14803500</v>
      </c>
    </row>
    <row r="901" customFormat="false" ht="15" hidden="false" customHeight="false" outlineLevel="0" collapsed="false">
      <c r="A901" s="0" t="s">
        <v>106</v>
      </c>
      <c r="B901" s="1" t="s">
        <v>20</v>
      </c>
      <c r="C901" s="1" t="s">
        <v>82</v>
      </c>
      <c r="D901" s="0" t="n">
        <v>2030</v>
      </c>
      <c r="E901" s="0" t="n">
        <v>11170</v>
      </c>
      <c r="F901" s="0" t="n">
        <f aca="false">D901*E901</f>
        <v>22675100</v>
      </c>
      <c r="G901" s="0" t="n">
        <f aca="false">INDEX(마스터!$E:$E,MATCH(C901,마스터!$A:$A,0))</f>
        <v>5660</v>
      </c>
      <c r="H901" s="0" t="n">
        <f aca="false">D901*G901</f>
        <v>11489800</v>
      </c>
    </row>
    <row r="902" customFormat="false" ht="15" hidden="false" customHeight="false" outlineLevel="0" collapsed="false">
      <c r="A902" s="0" t="s">
        <v>106</v>
      </c>
      <c r="B902" s="1" t="s">
        <v>20</v>
      </c>
      <c r="C902" s="1" t="s">
        <v>64</v>
      </c>
      <c r="D902" s="0" t="n">
        <v>2810</v>
      </c>
      <c r="E902" s="0" t="n">
        <v>12570</v>
      </c>
      <c r="F902" s="0" t="n">
        <f aca="false">D902*E902</f>
        <v>35321700</v>
      </c>
      <c r="G902" s="0" t="n">
        <f aca="false">INDEX(마스터!$E:$E,MATCH(C902,마스터!$A:$A,0))</f>
        <v>5890</v>
      </c>
      <c r="H902" s="0" t="n">
        <f aca="false">D902*G902</f>
        <v>16550900</v>
      </c>
    </row>
    <row r="903" customFormat="false" ht="15" hidden="false" customHeight="false" outlineLevel="0" collapsed="false">
      <c r="A903" s="0" t="s">
        <v>106</v>
      </c>
      <c r="B903" s="1" t="s">
        <v>20</v>
      </c>
      <c r="C903" s="1" t="s">
        <v>55</v>
      </c>
      <c r="D903" s="0" t="n">
        <v>3460</v>
      </c>
      <c r="E903" s="0" t="n">
        <v>12920</v>
      </c>
      <c r="F903" s="0" t="n">
        <f aca="false">D903*E903</f>
        <v>44703200</v>
      </c>
      <c r="G903" s="0" t="n">
        <f aca="false">INDEX(마스터!$E:$E,MATCH(C903,마스터!$A:$A,0))</f>
        <v>6040</v>
      </c>
      <c r="H903" s="0" t="n">
        <f aca="false">D903*G903</f>
        <v>20898400</v>
      </c>
    </row>
    <row r="904" customFormat="false" ht="15" hidden="false" customHeight="false" outlineLevel="0" collapsed="false">
      <c r="A904" s="0" t="s">
        <v>106</v>
      </c>
      <c r="B904" s="1" t="s">
        <v>20</v>
      </c>
      <c r="C904" s="1" t="s">
        <v>51</v>
      </c>
      <c r="D904" s="0" t="n">
        <v>3060</v>
      </c>
      <c r="E904" s="0" t="n">
        <v>14320</v>
      </c>
      <c r="F904" s="0" t="n">
        <f aca="false">D904*E904</f>
        <v>43819200</v>
      </c>
      <c r="G904" s="0" t="n">
        <f aca="false">INDEX(마스터!$E:$E,MATCH(C904,마스터!$A:$A,0))</f>
        <v>7480</v>
      </c>
      <c r="H904" s="0" t="n">
        <f aca="false">D904*G904</f>
        <v>22888800</v>
      </c>
    </row>
    <row r="905" customFormat="false" ht="15" hidden="false" customHeight="false" outlineLevel="0" collapsed="false">
      <c r="A905" s="0" t="s">
        <v>106</v>
      </c>
      <c r="B905" s="1" t="s">
        <v>21</v>
      </c>
      <c r="C905" s="1" t="s">
        <v>37</v>
      </c>
      <c r="D905" s="0" t="n">
        <v>4570</v>
      </c>
      <c r="E905" s="0" t="n">
        <v>10520</v>
      </c>
      <c r="F905" s="0" t="n">
        <f aca="false">D905*E905</f>
        <v>48076400</v>
      </c>
      <c r="G905" s="0" t="n">
        <f aca="false">INDEX(마스터!$E:$E,MATCH(C905,마스터!$A:$A,0))</f>
        <v>4900</v>
      </c>
      <c r="H905" s="0" t="n">
        <f aca="false">D905*G905</f>
        <v>22393000</v>
      </c>
    </row>
    <row r="906" customFormat="false" ht="15" hidden="false" customHeight="false" outlineLevel="0" collapsed="false">
      <c r="A906" s="0" t="s">
        <v>106</v>
      </c>
      <c r="B906" s="1" t="s">
        <v>21</v>
      </c>
      <c r="C906" s="1" t="s">
        <v>54</v>
      </c>
      <c r="D906" s="0" t="n">
        <v>3380</v>
      </c>
      <c r="E906" s="0" t="n">
        <v>13320</v>
      </c>
      <c r="F906" s="0" t="n">
        <f aca="false">D906*E906</f>
        <v>45021600</v>
      </c>
      <c r="G906" s="0" t="n">
        <f aca="false">INDEX(마스터!$E:$E,MATCH(C906,마스터!$A:$A,0))</f>
        <v>6790</v>
      </c>
      <c r="H906" s="0" t="n">
        <f aca="false">D906*G906</f>
        <v>22950200</v>
      </c>
    </row>
    <row r="907" customFormat="false" ht="15" hidden="false" customHeight="false" outlineLevel="0" collapsed="false">
      <c r="A907" s="0" t="s">
        <v>106</v>
      </c>
      <c r="B907" s="1" t="s">
        <v>21</v>
      </c>
      <c r="C907" s="1" t="s">
        <v>56</v>
      </c>
      <c r="D907" s="0" t="n">
        <v>3010</v>
      </c>
      <c r="E907" s="0" t="n">
        <v>10870</v>
      </c>
      <c r="F907" s="0" t="n">
        <f aca="false">D907*E907</f>
        <v>32718700</v>
      </c>
      <c r="G907" s="0" t="n">
        <f aca="false">INDEX(마스터!$E:$E,MATCH(C907,마스터!$A:$A,0))</f>
        <v>5470</v>
      </c>
      <c r="H907" s="0" t="n">
        <f aca="false">D907*G907</f>
        <v>16464700</v>
      </c>
    </row>
    <row r="908" customFormat="false" ht="15" hidden="false" customHeight="false" outlineLevel="0" collapsed="false">
      <c r="A908" s="0" t="s">
        <v>106</v>
      </c>
      <c r="B908" s="1" t="s">
        <v>22</v>
      </c>
      <c r="C908" s="1" t="s">
        <v>82</v>
      </c>
      <c r="D908" s="0" t="n">
        <v>3670</v>
      </c>
      <c r="E908" s="0" t="n">
        <v>11230</v>
      </c>
      <c r="F908" s="0" t="n">
        <f aca="false">D908*E908</f>
        <v>41214100</v>
      </c>
      <c r="G908" s="0" t="n">
        <f aca="false">INDEX(마스터!$E:$E,MATCH(C908,마스터!$A:$A,0))</f>
        <v>5660</v>
      </c>
      <c r="H908" s="0" t="n">
        <f aca="false">D908*G908</f>
        <v>20772200</v>
      </c>
    </row>
    <row r="909" customFormat="false" ht="15" hidden="false" customHeight="false" outlineLevel="0" collapsed="false">
      <c r="A909" s="0" t="s">
        <v>106</v>
      </c>
      <c r="B909" s="1" t="s">
        <v>22</v>
      </c>
      <c r="C909" s="1" t="s">
        <v>42</v>
      </c>
      <c r="D909" s="0" t="n">
        <v>5420</v>
      </c>
      <c r="E909" s="0" t="n">
        <v>13340</v>
      </c>
      <c r="F909" s="0" t="n">
        <f aca="false">D909*E909</f>
        <v>72302800</v>
      </c>
      <c r="G909" s="0" t="n">
        <f aca="false">INDEX(마스터!$E:$E,MATCH(C909,마스터!$A:$A,0))</f>
        <v>6730</v>
      </c>
      <c r="H909" s="0" t="n">
        <f aca="false">D909*G909</f>
        <v>36476600</v>
      </c>
    </row>
    <row r="910" customFormat="false" ht="15" hidden="false" customHeight="false" outlineLevel="0" collapsed="false">
      <c r="A910" s="0" t="s">
        <v>106</v>
      </c>
      <c r="B910" s="1" t="s">
        <v>23</v>
      </c>
      <c r="C910" s="1" t="s">
        <v>58</v>
      </c>
      <c r="D910" s="0" t="n">
        <v>4170</v>
      </c>
      <c r="E910" s="0" t="n">
        <v>11890</v>
      </c>
      <c r="F910" s="0" t="n">
        <f aca="false">D910*E910</f>
        <v>49581300</v>
      </c>
      <c r="G910" s="0" t="n">
        <f aca="false">INDEX(마스터!$E:$E,MATCH(C910,마스터!$A:$A,0))</f>
        <v>5720</v>
      </c>
      <c r="H910" s="0" t="n">
        <f aca="false">D910*G910</f>
        <v>23852400</v>
      </c>
    </row>
    <row r="911" customFormat="false" ht="15" hidden="false" customHeight="false" outlineLevel="0" collapsed="false">
      <c r="A911" s="0" t="s">
        <v>106</v>
      </c>
      <c r="B911" s="1" t="s">
        <v>23</v>
      </c>
      <c r="C911" s="1" t="s">
        <v>42</v>
      </c>
      <c r="D911" s="0" t="n">
        <v>3890</v>
      </c>
      <c r="E911" s="0" t="n">
        <v>13290</v>
      </c>
      <c r="F911" s="0" t="n">
        <f aca="false">D911*E911</f>
        <v>51698100</v>
      </c>
      <c r="G911" s="0" t="n">
        <f aca="false">INDEX(마스터!$E:$E,MATCH(C911,마스터!$A:$A,0))</f>
        <v>6730</v>
      </c>
      <c r="H911" s="0" t="n">
        <f aca="false">D911*G911</f>
        <v>26179700</v>
      </c>
    </row>
    <row r="912" customFormat="false" ht="15" hidden="false" customHeight="false" outlineLevel="0" collapsed="false">
      <c r="A912" s="0" t="s">
        <v>106</v>
      </c>
      <c r="B912" s="1" t="s">
        <v>25</v>
      </c>
      <c r="C912" s="1" t="s">
        <v>77</v>
      </c>
      <c r="D912" s="0" t="n">
        <v>3220</v>
      </c>
      <c r="E912" s="0" t="n">
        <v>11880</v>
      </c>
      <c r="F912" s="0" t="n">
        <f aca="false">D912*E912</f>
        <v>38253600</v>
      </c>
      <c r="G912" s="0" t="n">
        <f aca="false">INDEX(마스터!$E:$E,MATCH(C912,마스터!$A:$A,0))</f>
        <v>5380</v>
      </c>
      <c r="H912" s="0" t="n">
        <f aca="false">D912*G912</f>
        <v>17323600</v>
      </c>
    </row>
    <row r="913" customFormat="false" ht="15" hidden="false" customHeight="false" outlineLevel="0" collapsed="false">
      <c r="A913" s="0" t="s">
        <v>106</v>
      </c>
      <c r="B913" s="1" t="s">
        <v>25</v>
      </c>
      <c r="C913" s="1" t="s">
        <v>57</v>
      </c>
      <c r="D913" s="0" t="n">
        <v>3400</v>
      </c>
      <c r="E913" s="0" t="n">
        <v>10480</v>
      </c>
      <c r="F913" s="0" t="n">
        <f aca="false">D913*E913</f>
        <v>35632000</v>
      </c>
      <c r="G913" s="0" t="n">
        <f aca="false">INDEX(마스터!$E:$E,MATCH(C913,마스터!$A:$A,0))</f>
        <v>4870</v>
      </c>
      <c r="H913" s="0" t="n">
        <f aca="false">D913*G913</f>
        <v>16558000</v>
      </c>
    </row>
    <row r="914" customFormat="false" ht="15" hidden="false" customHeight="false" outlineLevel="0" collapsed="false">
      <c r="A914" s="0" t="s">
        <v>106</v>
      </c>
      <c r="B914" s="1" t="s">
        <v>24</v>
      </c>
      <c r="C914" s="1" t="s">
        <v>59</v>
      </c>
      <c r="D914" s="0" t="n">
        <v>3520</v>
      </c>
      <c r="E914" s="0" t="n">
        <v>14030</v>
      </c>
      <c r="F914" s="0" t="n">
        <f aca="false">D914*E914</f>
        <v>49385600</v>
      </c>
      <c r="G914" s="0" t="n">
        <f aca="false">INDEX(마스터!$E:$E,MATCH(C914,마스터!$A:$A,0))</f>
        <v>6520</v>
      </c>
      <c r="H914" s="0" t="n">
        <f aca="false">D914*G914</f>
        <v>22950400</v>
      </c>
    </row>
    <row r="915" customFormat="false" ht="15" hidden="false" customHeight="false" outlineLevel="0" collapsed="false">
      <c r="A915" s="0" t="s">
        <v>106</v>
      </c>
      <c r="B915" s="1" t="s">
        <v>24</v>
      </c>
      <c r="C915" s="1" t="s">
        <v>47</v>
      </c>
      <c r="D915" s="0" t="n">
        <v>3090</v>
      </c>
      <c r="E915" s="0" t="n">
        <v>9120</v>
      </c>
      <c r="F915" s="0" t="n">
        <f aca="false">D915*E915</f>
        <v>28180800</v>
      </c>
      <c r="G915" s="0" t="n">
        <f aca="false">INDEX(마스터!$E:$E,MATCH(C915,마스터!$A:$A,0))</f>
        <v>4170</v>
      </c>
      <c r="H915" s="0" t="n">
        <f aca="false">D915*G915</f>
        <v>12885300</v>
      </c>
    </row>
    <row r="916" customFormat="false" ht="15" hidden="false" customHeight="false" outlineLevel="0" collapsed="false">
      <c r="A916" s="0" t="s">
        <v>107</v>
      </c>
      <c r="B916" s="1" t="s">
        <v>14</v>
      </c>
      <c r="C916" s="1" t="s">
        <v>79</v>
      </c>
      <c r="D916" s="0" t="n">
        <v>4430</v>
      </c>
      <c r="E916" s="0" t="n">
        <v>10960</v>
      </c>
      <c r="F916" s="0" t="n">
        <f aca="false">D916*E916</f>
        <v>48552800</v>
      </c>
      <c r="G916" s="0" t="n">
        <f aca="false">INDEX(마스터!$E:$E,MATCH(C916,마스터!$A:$A,0))</f>
        <v>5990</v>
      </c>
      <c r="H916" s="0" t="n">
        <f aca="false">D916*G916</f>
        <v>26535700</v>
      </c>
    </row>
    <row r="917" customFormat="false" ht="15" hidden="false" customHeight="false" outlineLevel="0" collapsed="false">
      <c r="A917" s="0" t="s">
        <v>107</v>
      </c>
      <c r="B917" s="1" t="s">
        <v>14</v>
      </c>
      <c r="C917" s="1" t="s">
        <v>45</v>
      </c>
      <c r="D917" s="0" t="n">
        <v>22540</v>
      </c>
      <c r="E917" s="0" t="n">
        <v>11920</v>
      </c>
      <c r="F917" s="0" t="n">
        <f aca="false">D917*E917</f>
        <v>268676800</v>
      </c>
      <c r="G917" s="0" t="n">
        <f aca="false">INDEX(마스터!$E:$E,MATCH(C917,마스터!$A:$A,0))</f>
        <v>6110</v>
      </c>
      <c r="H917" s="0" t="n">
        <f aca="false">D917*G917</f>
        <v>137719400</v>
      </c>
    </row>
    <row r="918" customFormat="false" ht="15" hidden="false" customHeight="false" outlineLevel="0" collapsed="false">
      <c r="A918" s="0" t="s">
        <v>107</v>
      </c>
      <c r="B918" s="1" t="s">
        <v>14</v>
      </c>
      <c r="C918" s="1" t="s">
        <v>60</v>
      </c>
      <c r="D918" s="0" t="n">
        <v>4040</v>
      </c>
      <c r="E918" s="0" t="n">
        <v>12570</v>
      </c>
      <c r="F918" s="0" t="n">
        <f aca="false">D918*E918</f>
        <v>50782800</v>
      </c>
      <c r="G918" s="0" t="n">
        <f aca="false">INDEX(마스터!$E:$E,MATCH(C918,마스터!$A:$A,0))</f>
        <v>6980</v>
      </c>
      <c r="H918" s="0" t="n">
        <f aca="false">D918*G918</f>
        <v>28199200</v>
      </c>
    </row>
    <row r="919" customFormat="false" ht="15" hidden="false" customHeight="false" outlineLevel="0" collapsed="false">
      <c r="A919" s="0" t="s">
        <v>107</v>
      </c>
      <c r="B919" s="1" t="s">
        <v>14</v>
      </c>
      <c r="C919" s="1" t="s">
        <v>66</v>
      </c>
      <c r="D919" s="0" t="n">
        <v>6230</v>
      </c>
      <c r="E919" s="0" t="n">
        <v>11920</v>
      </c>
      <c r="F919" s="0" t="n">
        <f aca="false">D919*E919</f>
        <v>74261600</v>
      </c>
      <c r="G919" s="0" t="n">
        <f aca="false">INDEX(마스터!$E:$E,MATCH(C919,마스터!$A:$A,0))</f>
        <v>6360</v>
      </c>
      <c r="H919" s="0" t="n">
        <f aca="false">D919*G919</f>
        <v>39622800</v>
      </c>
    </row>
    <row r="920" customFormat="false" ht="15" hidden="false" customHeight="false" outlineLevel="0" collapsed="false">
      <c r="A920" s="0" t="s">
        <v>107</v>
      </c>
      <c r="B920" s="1" t="s">
        <v>14</v>
      </c>
      <c r="C920" s="1" t="s">
        <v>88</v>
      </c>
      <c r="D920" s="0" t="n">
        <v>6120</v>
      </c>
      <c r="E920" s="0" t="n">
        <v>10960</v>
      </c>
      <c r="F920" s="0" t="n">
        <f aca="false">D920*E920</f>
        <v>67075200</v>
      </c>
      <c r="G920" s="0" t="n">
        <f aca="false">INDEX(마스터!$E:$E,MATCH(C920,마스터!$A:$A,0))</f>
        <v>5930</v>
      </c>
      <c r="H920" s="0" t="n">
        <f aca="false">D920*G920</f>
        <v>36291600</v>
      </c>
    </row>
    <row r="921" customFormat="false" ht="15" hidden="false" customHeight="false" outlineLevel="0" collapsed="false">
      <c r="A921" s="0" t="s">
        <v>107</v>
      </c>
      <c r="B921" s="1" t="s">
        <v>14</v>
      </c>
      <c r="C921" s="1" t="s">
        <v>44</v>
      </c>
      <c r="D921" s="0" t="n">
        <v>4740</v>
      </c>
      <c r="E921" s="0" t="n">
        <v>10960</v>
      </c>
      <c r="F921" s="0" t="n">
        <f aca="false">D921*E921</f>
        <v>51950400</v>
      </c>
      <c r="G921" s="0" t="n">
        <f aca="false">INDEX(마스터!$E:$E,MATCH(C921,마스터!$A:$A,0))</f>
        <v>5500</v>
      </c>
      <c r="H921" s="0" t="n">
        <f aca="false">D921*G921</f>
        <v>26070000</v>
      </c>
    </row>
    <row r="922" customFormat="false" ht="15" hidden="false" customHeight="false" outlineLevel="0" collapsed="false">
      <c r="A922" s="0" t="s">
        <v>107</v>
      </c>
      <c r="B922" s="1" t="s">
        <v>14</v>
      </c>
      <c r="C922" s="1" t="s">
        <v>47</v>
      </c>
      <c r="D922" s="0" t="n">
        <v>6670</v>
      </c>
      <c r="E922" s="0" t="n">
        <v>8380</v>
      </c>
      <c r="F922" s="0" t="n">
        <f aca="false">D922*E922</f>
        <v>55894600</v>
      </c>
      <c r="G922" s="0" t="n">
        <f aca="false">INDEX(마스터!$E:$E,MATCH(C922,마스터!$A:$A,0))</f>
        <v>4170</v>
      </c>
      <c r="H922" s="0" t="n">
        <f aca="false">D922*G922</f>
        <v>27813900</v>
      </c>
    </row>
    <row r="923" customFormat="false" ht="15" hidden="false" customHeight="false" outlineLevel="0" collapsed="false">
      <c r="A923" s="0" t="s">
        <v>107</v>
      </c>
      <c r="B923" s="1" t="s">
        <v>15</v>
      </c>
      <c r="C923" s="1" t="s">
        <v>45</v>
      </c>
      <c r="D923" s="0" t="n">
        <v>14080</v>
      </c>
      <c r="E923" s="0" t="n">
        <v>12050</v>
      </c>
      <c r="F923" s="0" t="n">
        <f aca="false">D923*E923</f>
        <v>169664000</v>
      </c>
      <c r="G923" s="0" t="n">
        <f aca="false">INDEX(마스터!$E:$E,MATCH(C923,마스터!$A:$A,0))</f>
        <v>6110</v>
      </c>
      <c r="H923" s="0" t="n">
        <f aca="false">D923*G923</f>
        <v>86028800</v>
      </c>
    </row>
    <row r="924" customFormat="false" ht="15" hidden="false" customHeight="false" outlineLevel="0" collapsed="false">
      <c r="A924" s="0" t="s">
        <v>107</v>
      </c>
      <c r="B924" s="1" t="s">
        <v>15</v>
      </c>
      <c r="C924" s="1" t="s">
        <v>32</v>
      </c>
      <c r="D924" s="0" t="n">
        <v>4290</v>
      </c>
      <c r="E924" s="0" t="n">
        <v>11070</v>
      </c>
      <c r="F924" s="0" t="n">
        <f aca="false">D924*E924</f>
        <v>47490300</v>
      </c>
      <c r="G924" s="0" t="n">
        <f aca="false">INDEX(마스터!$E:$E,MATCH(C924,마스터!$A:$A,0))</f>
        <v>5790</v>
      </c>
      <c r="H924" s="0" t="n">
        <f aca="false">D924*G924</f>
        <v>24839100</v>
      </c>
    </row>
    <row r="925" customFormat="false" ht="15" hidden="false" customHeight="false" outlineLevel="0" collapsed="false">
      <c r="A925" s="0" t="s">
        <v>107</v>
      </c>
      <c r="B925" s="1" t="s">
        <v>15</v>
      </c>
      <c r="C925" s="1" t="s">
        <v>77</v>
      </c>
      <c r="D925" s="0" t="n">
        <v>8350</v>
      </c>
      <c r="E925" s="0" t="n">
        <v>11070</v>
      </c>
      <c r="F925" s="0" t="n">
        <f aca="false">D925*E925</f>
        <v>92434500</v>
      </c>
      <c r="G925" s="0" t="n">
        <f aca="false">INDEX(마스터!$E:$E,MATCH(C925,마스터!$A:$A,0))</f>
        <v>5380</v>
      </c>
      <c r="H925" s="0" t="n">
        <f aca="false">D925*G925</f>
        <v>44923000</v>
      </c>
    </row>
    <row r="926" customFormat="false" ht="15" hidden="false" customHeight="false" outlineLevel="0" collapsed="false">
      <c r="A926" s="0" t="s">
        <v>107</v>
      </c>
      <c r="B926" s="1" t="s">
        <v>15</v>
      </c>
      <c r="C926" s="1" t="s">
        <v>60</v>
      </c>
      <c r="D926" s="0" t="n">
        <v>3210</v>
      </c>
      <c r="E926" s="0" t="n">
        <v>12700</v>
      </c>
      <c r="F926" s="0" t="n">
        <f aca="false">D926*E926</f>
        <v>40767000</v>
      </c>
      <c r="G926" s="0" t="n">
        <f aca="false">INDEX(마스터!$E:$E,MATCH(C926,마스터!$A:$A,0))</f>
        <v>6980</v>
      </c>
      <c r="H926" s="0" t="n">
        <f aca="false">D926*G926</f>
        <v>22405800</v>
      </c>
    </row>
    <row r="927" customFormat="false" ht="15" hidden="false" customHeight="false" outlineLevel="0" collapsed="false">
      <c r="A927" s="0" t="s">
        <v>107</v>
      </c>
      <c r="B927" s="1" t="s">
        <v>15</v>
      </c>
      <c r="C927" s="1" t="s">
        <v>54</v>
      </c>
      <c r="D927" s="0" t="n">
        <v>5180</v>
      </c>
      <c r="E927" s="0" t="n">
        <v>12370</v>
      </c>
      <c r="F927" s="0" t="n">
        <f aca="false">D927*E927</f>
        <v>64076600</v>
      </c>
      <c r="G927" s="0" t="n">
        <f aca="false">INDEX(마스터!$E:$E,MATCH(C927,마스터!$A:$A,0))</f>
        <v>6790</v>
      </c>
      <c r="H927" s="0" t="n">
        <f aca="false">D927*G927</f>
        <v>35172200</v>
      </c>
    </row>
    <row r="928" customFormat="false" ht="15" hidden="false" customHeight="false" outlineLevel="0" collapsed="false">
      <c r="A928" s="0" t="s">
        <v>107</v>
      </c>
      <c r="B928" s="1" t="s">
        <v>15</v>
      </c>
      <c r="C928" s="1" t="s">
        <v>42</v>
      </c>
      <c r="D928" s="0" t="n">
        <v>7280</v>
      </c>
      <c r="E928" s="0" t="n">
        <v>12370</v>
      </c>
      <c r="F928" s="0" t="n">
        <f aca="false">D928*E928</f>
        <v>90053600</v>
      </c>
      <c r="G928" s="0" t="n">
        <f aca="false">INDEX(마스터!$E:$E,MATCH(C928,마스터!$A:$A,0))</f>
        <v>6730</v>
      </c>
      <c r="H928" s="0" t="n">
        <f aca="false">D928*G928</f>
        <v>48994400</v>
      </c>
    </row>
    <row r="929" customFormat="false" ht="15" hidden="false" customHeight="false" outlineLevel="0" collapsed="false">
      <c r="A929" s="0" t="s">
        <v>107</v>
      </c>
      <c r="B929" s="1" t="s">
        <v>15</v>
      </c>
      <c r="C929" s="1" t="s">
        <v>71</v>
      </c>
      <c r="D929" s="0" t="n">
        <v>5480</v>
      </c>
      <c r="E929" s="0" t="n">
        <v>8470</v>
      </c>
      <c r="F929" s="0" t="n">
        <f aca="false">D929*E929</f>
        <v>46415600</v>
      </c>
      <c r="G929" s="0" t="n">
        <f aca="false">INDEX(마스터!$E:$E,MATCH(C929,마스터!$A:$A,0))</f>
        <v>4330</v>
      </c>
      <c r="H929" s="0" t="n">
        <f aca="false">D929*G929</f>
        <v>23728400</v>
      </c>
    </row>
    <row r="930" customFormat="false" ht="15" hidden="false" customHeight="false" outlineLevel="0" collapsed="false">
      <c r="A930" s="0" t="s">
        <v>107</v>
      </c>
      <c r="B930" s="1" t="s">
        <v>16</v>
      </c>
      <c r="C930" s="1" t="s">
        <v>45</v>
      </c>
      <c r="D930" s="0" t="n">
        <v>12710</v>
      </c>
      <c r="E930" s="0" t="n">
        <v>12890</v>
      </c>
      <c r="F930" s="0" t="n">
        <f aca="false">D930*E930</f>
        <v>163831900</v>
      </c>
      <c r="G930" s="0" t="n">
        <f aca="false">INDEX(마스터!$E:$E,MATCH(C930,마스터!$A:$A,0))</f>
        <v>6110</v>
      </c>
      <c r="H930" s="0" t="n">
        <f aca="false">D930*G930</f>
        <v>77658100</v>
      </c>
    </row>
    <row r="931" customFormat="false" ht="15" hidden="false" customHeight="false" outlineLevel="0" collapsed="false">
      <c r="A931" s="0" t="s">
        <v>107</v>
      </c>
      <c r="B931" s="1" t="s">
        <v>16</v>
      </c>
      <c r="C931" s="1" t="s">
        <v>60</v>
      </c>
      <c r="D931" s="0" t="n">
        <v>3400</v>
      </c>
      <c r="E931" s="0" t="n">
        <v>13590</v>
      </c>
      <c r="F931" s="0" t="n">
        <f aca="false">D931*E931</f>
        <v>46206000</v>
      </c>
      <c r="G931" s="0" t="n">
        <f aca="false">INDEX(마스터!$E:$E,MATCH(C931,마스터!$A:$A,0))</f>
        <v>6980</v>
      </c>
      <c r="H931" s="0" t="n">
        <f aca="false">D931*G931</f>
        <v>23732000</v>
      </c>
    </row>
    <row r="932" customFormat="false" ht="15" hidden="false" customHeight="false" outlineLevel="0" collapsed="false">
      <c r="A932" s="0" t="s">
        <v>107</v>
      </c>
      <c r="B932" s="1" t="s">
        <v>16</v>
      </c>
      <c r="C932" s="1" t="s">
        <v>51</v>
      </c>
      <c r="D932" s="0" t="n">
        <v>7550</v>
      </c>
      <c r="E932" s="0" t="n">
        <v>14280</v>
      </c>
      <c r="F932" s="0" t="n">
        <f aca="false">D932*E932</f>
        <v>107814000</v>
      </c>
      <c r="G932" s="0" t="n">
        <f aca="false">INDEX(마스터!$E:$E,MATCH(C932,마스터!$A:$A,0))</f>
        <v>7480</v>
      </c>
      <c r="H932" s="0" t="n">
        <f aca="false">D932*G932</f>
        <v>56474000</v>
      </c>
    </row>
    <row r="933" customFormat="false" ht="15" hidden="false" customHeight="false" outlineLevel="0" collapsed="false">
      <c r="A933" s="0" t="s">
        <v>107</v>
      </c>
      <c r="B933" s="1" t="s">
        <v>16</v>
      </c>
      <c r="C933" s="1" t="s">
        <v>75</v>
      </c>
      <c r="D933" s="0" t="n">
        <v>7330</v>
      </c>
      <c r="E933" s="0" t="n">
        <v>11850</v>
      </c>
      <c r="F933" s="0" t="n">
        <f aca="false">D933*E933</f>
        <v>86860500</v>
      </c>
      <c r="G933" s="0" t="n">
        <f aca="false">INDEX(마스터!$E:$E,MATCH(C933,마스터!$A:$A,0))</f>
        <v>5440</v>
      </c>
      <c r="H933" s="0" t="n">
        <f aca="false">D933*G933</f>
        <v>39875200</v>
      </c>
    </row>
    <row r="934" customFormat="false" ht="15" hidden="false" customHeight="false" outlineLevel="0" collapsed="false">
      <c r="A934" s="0" t="s">
        <v>107</v>
      </c>
      <c r="B934" s="1" t="s">
        <v>16</v>
      </c>
      <c r="C934" s="1" t="s">
        <v>36</v>
      </c>
      <c r="D934" s="0" t="n">
        <v>5230</v>
      </c>
      <c r="E934" s="0" t="n">
        <v>10100</v>
      </c>
      <c r="F934" s="0" t="n">
        <f aca="false">D934*E934</f>
        <v>52823000</v>
      </c>
      <c r="G934" s="0" t="n">
        <f aca="false">INDEX(마스터!$E:$E,MATCH(C934,마스터!$A:$A,0))</f>
        <v>4540</v>
      </c>
      <c r="H934" s="0" t="n">
        <f aca="false">D934*G934</f>
        <v>23744200</v>
      </c>
    </row>
    <row r="935" customFormat="false" ht="15" hidden="false" customHeight="false" outlineLevel="0" collapsed="false">
      <c r="A935" s="0" t="s">
        <v>107</v>
      </c>
      <c r="B935" s="1" t="s">
        <v>17</v>
      </c>
      <c r="C935" s="1" t="s">
        <v>45</v>
      </c>
      <c r="D935" s="0" t="n">
        <v>8050</v>
      </c>
      <c r="E935" s="0" t="n">
        <v>11920</v>
      </c>
      <c r="F935" s="0" t="n">
        <f aca="false">D935*E935</f>
        <v>95956000</v>
      </c>
      <c r="G935" s="0" t="n">
        <f aca="false">INDEX(마스터!$E:$E,MATCH(C935,마스터!$A:$A,0))</f>
        <v>6110</v>
      </c>
      <c r="H935" s="0" t="n">
        <f aca="false">D935*G935</f>
        <v>49185500</v>
      </c>
    </row>
    <row r="936" customFormat="false" ht="15" hidden="false" customHeight="false" outlineLevel="0" collapsed="false">
      <c r="A936" s="0" t="s">
        <v>107</v>
      </c>
      <c r="B936" s="1" t="s">
        <v>17</v>
      </c>
      <c r="C936" s="1" t="s">
        <v>41</v>
      </c>
      <c r="D936" s="0" t="n">
        <v>4200</v>
      </c>
      <c r="E936" s="0" t="n">
        <v>10960</v>
      </c>
      <c r="F936" s="0" t="n">
        <f aca="false">D936*E936</f>
        <v>46032000</v>
      </c>
      <c r="G936" s="0" t="n">
        <f aca="false">INDEX(마스터!$E:$E,MATCH(C936,마스터!$A:$A,0))</f>
        <v>5480</v>
      </c>
      <c r="H936" s="0" t="n">
        <f aca="false">D936*G936</f>
        <v>23016000</v>
      </c>
    </row>
    <row r="937" customFormat="false" ht="15" hidden="false" customHeight="false" outlineLevel="0" collapsed="false">
      <c r="A937" s="0" t="s">
        <v>107</v>
      </c>
      <c r="B937" s="1" t="s">
        <v>17</v>
      </c>
      <c r="C937" s="1" t="s">
        <v>60</v>
      </c>
      <c r="D937" s="0" t="n">
        <v>1970</v>
      </c>
      <c r="E937" s="0" t="n">
        <v>12570</v>
      </c>
      <c r="F937" s="0" t="n">
        <f aca="false">D937*E937</f>
        <v>24762900</v>
      </c>
      <c r="G937" s="0" t="n">
        <f aca="false">INDEX(마스터!$E:$E,MATCH(C937,마스터!$A:$A,0))</f>
        <v>6980</v>
      </c>
      <c r="H937" s="0" t="n">
        <f aca="false">D937*G937</f>
        <v>13750600</v>
      </c>
    </row>
    <row r="938" customFormat="false" ht="15" hidden="false" customHeight="false" outlineLevel="0" collapsed="false">
      <c r="A938" s="0" t="s">
        <v>107</v>
      </c>
      <c r="B938" s="1" t="s">
        <v>17</v>
      </c>
      <c r="C938" s="1" t="s">
        <v>46</v>
      </c>
      <c r="D938" s="0" t="n">
        <v>3860</v>
      </c>
      <c r="E938" s="0" t="n">
        <v>13210</v>
      </c>
      <c r="F938" s="0" t="n">
        <f aca="false">D938*E938</f>
        <v>50990600</v>
      </c>
      <c r="G938" s="0" t="n">
        <f aca="false">INDEX(마스터!$E:$E,MATCH(C938,마스터!$A:$A,0))</f>
        <v>6910</v>
      </c>
      <c r="H938" s="0" t="n">
        <f aca="false">D938*G938</f>
        <v>26672600</v>
      </c>
    </row>
    <row r="939" customFormat="false" ht="15" hidden="false" customHeight="false" outlineLevel="0" collapsed="false">
      <c r="A939" s="0" t="s">
        <v>107</v>
      </c>
      <c r="B939" s="1" t="s">
        <v>17</v>
      </c>
      <c r="C939" s="1" t="s">
        <v>55</v>
      </c>
      <c r="D939" s="0" t="n">
        <v>3710</v>
      </c>
      <c r="E939" s="0" t="n">
        <v>11920</v>
      </c>
      <c r="F939" s="0" t="n">
        <f aca="false">D939*E939</f>
        <v>44223200</v>
      </c>
      <c r="G939" s="0" t="n">
        <f aca="false">INDEX(마스터!$E:$E,MATCH(C939,마스터!$A:$A,0))</f>
        <v>6040</v>
      </c>
      <c r="H939" s="0" t="n">
        <f aca="false">D939*G939</f>
        <v>22408400</v>
      </c>
    </row>
    <row r="940" customFormat="false" ht="15" hidden="false" customHeight="false" outlineLevel="0" collapsed="false">
      <c r="A940" s="0" t="s">
        <v>107</v>
      </c>
      <c r="B940" s="1" t="s">
        <v>17</v>
      </c>
      <c r="C940" s="1" t="s">
        <v>68</v>
      </c>
      <c r="D940" s="0" t="n">
        <v>4790</v>
      </c>
      <c r="E940" s="0" t="n">
        <v>9670</v>
      </c>
      <c r="F940" s="0" t="n">
        <f aca="false">D940*E940</f>
        <v>46319300</v>
      </c>
      <c r="G940" s="0" t="n">
        <f aca="false">INDEX(마스터!$E:$E,MATCH(C940,마스터!$A:$A,0))</f>
        <v>4880</v>
      </c>
      <c r="H940" s="0" t="n">
        <f aca="false">D940*G940</f>
        <v>23375200</v>
      </c>
    </row>
    <row r="941" customFormat="false" ht="15" hidden="false" customHeight="false" outlineLevel="0" collapsed="false">
      <c r="A941" s="0" t="s">
        <v>107</v>
      </c>
      <c r="B941" s="1" t="s">
        <v>17</v>
      </c>
      <c r="C941" s="1" t="s">
        <v>47</v>
      </c>
      <c r="D941" s="0" t="n">
        <v>3460</v>
      </c>
      <c r="E941" s="0" t="n">
        <v>8380</v>
      </c>
      <c r="F941" s="0" t="n">
        <f aca="false">D941*E941</f>
        <v>28994800</v>
      </c>
      <c r="G941" s="0" t="n">
        <f aca="false">INDEX(마스터!$E:$E,MATCH(C941,마스터!$A:$A,0))</f>
        <v>4170</v>
      </c>
      <c r="H941" s="0" t="n">
        <f aca="false">D941*G941</f>
        <v>14428200</v>
      </c>
    </row>
    <row r="942" customFormat="false" ht="15" hidden="false" customHeight="false" outlineLevel="0" collapsed="false">
      <c r="A942" s="0" t="s">
        <v>107</v>
      </c>
      <c r="B942" s="1" t="s">
        <v>18</v>
      </c>
      <c r="C942" s="1" t="s">
        <v>58</v>
      </c>
      <c r="D942" s="0" t="n">
        <v>6130</v>
      </c>
      <c r="E942" s="0" t="n">
        <v>11780</v>
      </c>
      <c r="F942" s="0" t="n">
        <f aca="false">D942*E942</f>
        <v>72211400</v>
      </c>
      <c r="G942" s="0" t="n">
        <f aca="false">INDEX(마스터!$E:$E,MATCH(C942,마스터!$A:$A,0))</f>
        <v>5720</v>
      </c>
      <c r="H942" s="0" t="n">
        <f aca="false">D942*G942</f>
        <v>35063600</v>
      </c>
    </row>
    <row r="943" customFormat="false" ht="15" hidden="false" customHeight="false" outlineLevel="0" collapsed="false">
      <c r="A943" s="0" t="s">
        <v>107</v>
      </c>
      <c r="B943" s="1" t="s">
        <v>18</v>
      </c>
      <c r="C943" s="1" t="s">
        <v>48</v>
      </c>
      <c r="D943" s="0" t="n">
        <v>8250</v>
      </c>
      <c r="E943" s="0" t="n">
        <v>12820</v>
      </c>
      <c r="F943" s="0" t="n">
        <f aca="false">D943*E943</f>
        <v>105765000</v>
      </c>
      <c r="G943" s="0" t="n">
        <f aca="false">INDEX(마스터!$E:$E,MATCH(C943,마스터!$A:$A,0))</f>
        <v>6440</v>
      </c>
      <c r="H943" s="0" t="n">
        <f aca="false">D943*G943</f>
        <v>53130000</v>
      </c>
    </row>
    <row r="944" customFormat="false" ht="15" hidden="false" customHeight="false" outlineLevel="0" collapsed="false">
      <c r="A944" s="0" t="s">
        <v>107</v>
      </c>
      <c r="B944" s="1" t="s">
        <v>18</v>
      </c>
      <c r="C944" s="1" t="s">
        <v>75</v>
      </c>
      <c r="D944" s="0" t="n">
        <v>4280</v>
      </c>
      <c r="E944" s="0" t="n">
        <v>11780</v>
      </c>
      <c r="F944" s="0" t="n">
        <f aca="false">D944*E944</f>
        <v>50418400</v>
      </c>
      <c r="G944" s="0" t="n">
        <f aca="false">INDEX(마스터!$E:$E,MATCH(C944,마스터!$A:$A,0))</f>
        <v>5440</v>
      </c>
      <c r="H944" s="0" t="n">
        <f aca="false">D944*G944</f>
        <v>23283200</v>
      </c>
    </row>
    <row r="945" customFormat="false" ht="15" hidden="false" customHeight="false" outlineLevel="0" collapsed="false">
      <c r="A945" s="0" t="s">
        <v>107</v>
      </c>
      <c r="B945" s="1" t="s">
        <v>18</v>
      </c>
      <c r="C945" s="1" t="s">
        <v>88</v>
      </c>
      <c r="D945" s="0" t="n">
        <v>5790</v>
      </c>
      <c r="E945" s="0" t="n">
        <v>11780</v>
      </c>
      <c r="F945" s="0" t="n">
        <f aca="false">D945*E945</f>
        <v>68206200</v>
      </c>
      <c r="G945" s="0" t="n">
        <f aca="false">INDEX(마스터!$E:$E,MATCH(C945,마스터!$A:$A,0))</f>
        <v>5930</v>
      </c>
      <c r="H945" s="0" t="n">
        <f aca="false">D945*G945</f>
        <v>34334700</v>
      </c>
    </row>
    <row r="946" customFormat="false" ht="15" hidden="false" customHeight="false" outlineLevel="0" collapsed="false">
      <c r="A946" s="0" t="s">
        <v>107</v>
      </c>
      <c r="B946" s="1" t="s">
        <v>19</v>
      </c>
      <c r="C946" s="1" t="s">
        <v>41</v>
      </c>
      <c r="D946" s="0" t="n">
        <v>4010</v>
      </c>
      <c r="E946" s="0" t="n">
        <v>11030</v>
      </c>
      <c r="F946" s="0" t="n">
        <f aca="false">D946*E946</f>
        <v>44230300</v>
      </c>
      <c r="G946" s="0" t="n">
        <f aca="false">INDEX(마스터!$E:$E,MATCH(C946,마스터!$A:$A,0))</f>
        <v>5480</v>
      </c>
      <c r="H946" s="0" t="n">
        <f aca="false">D946*G946</f>
        <v>21974800</v>
      </c>
    </row>
    <row r="947" customFormat="false" ht="15" hidden="false" customHeight="false" outlineLevel="0" collapsed="false">
      <c r="A947" s="0" t="s">
        <v>107</v>
      </c>
      <c r="B947" s="1" t="s">
        <v>19</v>
      </c>
      <c r="C947" s="1" t="s">
        <v>77</v>
      </c>
      <c r="D947" s="0" t="n">
        <v>5360</v>
      </c>
      <c r="E947" s="0" t="n">
        <v>11030</v>
      </c>
      <c r="F947" s="0" t="n">
        <f aca="false">D947*E947</f>
        <v>59120800</v>
      </c>
      <c r="G947" s="0" t="n">
        <f aca="false">INDEX(마스터!$E:$E,MATCH(C947,마스터!$A:$A,0))</f>
        <v>5380</v>
      </c>
      <c r="H947" s="0" t="n">
        <f aca="false">D947*G947</f>
        <v>28836800</v>
      </c>
    </row>
    <row r="948" customFormat="false" ht="15" hidden="false" customHeight="false" outlineLevel="0" collapsed="false">
      <c r="A948" s="0" t="s">
        <v>107</v>
      </c>
      <c r="B948" s="1" t="s">
        <v>19</v>
      </c>
      <c r="C948" s="1" t="s">
        <v>51</v>
      </c>
      <c r="D948" s="0" t="n">
        <v>4370</v>
      </c>
      <c r="E948" s="0" t="n">
        <v>13300</v>
      </c>
      <c r="F948" s="0" t="n">
        <f aca="false">D948*E948</f>
        <v>58121000</v>
      </c>
      <c r="G948" s="0" t="n">
        <f aca="false">INDEX(마스터!$E:$E,MATCH(C948,마스터!$A:$A,0))</f>
        <v>7480</v>
      </c>
      <c r="H948" s="0" t="n">
        <f aca="false">D948*G948</f>
        <v>32687600</v>
      </c>
    </row>
    <row r="949" customFormat="false" ht="15" hidden="false" customHeight="false" outlineLevel="0" collapsed="false">
      <c r="A949" s="0" t="s">
        <v>107</v>
      </c>
      <c r="B949" s="1" t="s">
        <v>19</v>
      </c>
      <c r="C949" s="1" t="s">
        <v>76</v>
      </c>
      <c r="D949" s="0" t="n">
        <v>3590</v>
      </c>
      <c r="E949" s="0" t="n">
        <v>8760</v>
      </c>
      <c r="F949" s="0" t="n">
        <f aca="false">D949*E949</f>
        <v>31448400</v>
      </c>
      <c r="G949" s="0" t="n">
        <f aca="false">INDEX(마스터!$E:$E,MATCH(C949,마스터!$A:$A,0))</f>
        <v>4150</v>
      </c>
      <c r="H949" s="0" t="n">
        <f aca="false">D949*G949</f>
        <v>14898500</v>
      </c>
    </row>
    <row r="950" customFormat="false" ht="15" hidden="false" customHeight="false" outlineLevel="0" collapsed="false">
      <c r="A950" s="0" t="s">
        <v>107</v>
      </c>
      <c r="B950" s="1" t="s">
        <v>19</v>
      </c>
      <c r="C950" s="1" t="s">
        <v>71</v>
      </c>
      <c r="D950" s="0" t="n">
        <v>3400</v>
      </c>
      <c r="E950" s="0" t="n">
        <v>8430</v>
      </c>
      <c r="F950" s="0" t="n">
        <f aca="false">D950*E950</f>
        <v>28662000</v>
      </c>
      <c r="G950" s="0" t="n">
        <f aca="false">INDEX(마스터!$E:$E,MATCH(C950,마스터!$A:$A,0))</f>
        <v>4330</v>
      </c>
      <c r="H950" s="0" t="n">
        <f aca="false">D950*G950</f>
        <v>14722000</v>
      </c>
    </row>
    <row r="951" customFormat="false" ht="15" hidden="false" customHeight="false" outlineLevel="0" collapsed="false">
      <c r="A951" s="0" t="s">
        <v>107</v>
      </c>
      <c r="B951" s="1" t="s">
        <v>20</v>
      </c>
      <c r="C951" s="1" t="s">
        <v>79</v>
      </c>
      <c r="D951" s="0" t="n">
        <v>3300</v>
      </c>
      <c r="E951" s="0" t="n">
        <v>11870</v>
      </c>
      <c r="F951" s="0" t="n">
        <f aca="false">D951*E951</f>
        <v>39171000</v>
      </c>
      <c r="G951" s="0" t="n">
        <f aca="false">INDEX(마스터!$E:$E,MATCH(C951,마스터!$A:$A,0))</f>
        <v>5990</v>
      </c>
      <c r="H951" s="0" t="n">
        <f aca="false">D951*G951</f>
        <v>19767000</v>
      </c>
    </row>
    <row r="952" customFormat="false" ht="15" hidden="false" customHeight="false" outlineLevel="0" collapsed="false">
      <c r="A952" s="0" t="s">
        <v>107</v>
      </c>
      <c r="B952" s="1" t="s">
        <v>20</v>
      </c>
      <c r="C952" s="1" t="s">
        <v>59</v>
      </c>
      <c r="D952" s="0" t="n">
        <v>5030</v>
      </c>
      <c r="E952" s="0" t="n">
        <v>13970</v>
      </c>
      <c r="F952" s="0" t="n">
        <f aca="false">D952*E952</f>
        <v>70269100</v>
      </c>
      <c r="G952" s="0" t="n">
        <f aca="false">INDEX(마스터!$E:$E,MATCH(C952,마스터!$A:$A,0))</f>
        <v>6520</v>
      </c>
      <c r="H952" s="0" t="n">
        <f aca="false">D952*G952</f>
        <v>32795600</v>
      </c>
    </row>
    <row r="953" customFormat="false" ht="15" hidden="false" customHeight="false" outlineLevel="0" collapsed="false">
      <c r="A953" s="0" t="s">
        <v>107</v>
      </c>
      <c r="B953" s="1" t="s">
        <v>20</v>
      </c>
      <c r="C953" s="1" t="s">
        <v>48</v>
      </c>
      <c r="D953" s="0" t="n">
        <v>4660</v>
      </c>
      <c r="E953" s="0" t="n">
        <v>12920</v>
      </c>
      <c r="F953" s="0" t="n">
        <f aca="false">D953*E953</f>
        <v>60207200</v>
      </c>
      <c r="G953" s="0" t="n">
        <f aca="false">INDEX(마스터!$E:$E,MATCH(C953,마스터!$A:$A,0))</f>
        <v>6440</v>
      </c>
      <c r="H953" s="0" t="n">
        <f aca="false">D953*G953</f>
        <v>30010400</v>
      </c>
    </row>
    <row r="954" customFormat="false" ht="15" hidden="false" customHeight="false" outlineLevel="0" collapsed="false">
      <c r="A954" s="0" t="s">
        <v>107</v>
      </c>
      <c r="B954" s="1" t="s">
        <v>20</v>
      </c>
      <c r="C954" s="1" t="s">
        <v>83</v>
      </c>
      <c r="D954" s="0" t="n">
        <v>1610</v>
      </c>
      <c r="E954" s="0" t="n">
        <v>9780</v>
      </c>
      <c r="F954" s="0" t="n">
        <f aca="false">D954*E954</f>
        <v>15745800</v>
      </c>
      <c r="G954" s="0" t="n">
        <f aca="false">INDEX(마스터!$E:$E,MATCH(C954,마스터!$A:$A,0))</f>
        <v>4460</v>
      </c>
      <c r="H954" s="0" t="n">
        <f aca="false">D954*G954</f>
        <v>7180600</v>
      </c>
    </row>
    <row r="955" customFormat="false" ht="15" hidden="false" customHeight="false" outlineLevel="0" collapsed="false">
      <c r="A955" s="0" t="s">
        <v>107</v>
      </c>
      <c r="B955" s="1" t="s">
        <v>21</v>
      </c>
      <c r="C955" s="1" t="s">
        <v>82</v>
      </c>
      <c r="D955" s="0" t="n">
        <v>4530</v>
      </c>
      <c r="E955" s="0" t="n">
        <v>11220</v>
      </c>
      <c r="F955" s="0" t="n">
        <f aca="false">D955*E955</f>
        <v>50826600</v>
      </c>
      <c r="G955" s="0" t="n">
        <f aca="false">INDEX(마스터!$E:$E,MATCH(C955,마스터!$A:$A,0))</f>
        <v>5660</v>
      </c>
      <c r="H955" s="0" t="n">
        <f aca="false">D955*G955</f>
        <v>25639800</v>
      </c>
    </row>
    <row r="956" customFormat="false" ht="15" hidden="false" customHeight="false" outlineLevel="0" collapsed="false">
      <c r="A956" s="0" t="s">
        <v>107</v>
      </c>
      <c r="B956" s="1" t="s">
        <v>21</v>
      </c>
      <c r="C956" s="1" t="s">
        <v>45</v>
      </c>
      <c r="D956" s="0" t="n">
        <v>6070</v>
      </c>
      <c r="E956" s="0" t="n">
        <v>12980</v>
      </c>
      <c r="F956" s="0" t="n">
        <f aca="false">D956*E956</f>
        <v>78788600</v>
      </c>
      <c r="G956" s="0" t="n">
        <f aca="false">INDEX(마스터!$E:$E,MATCH(C956,마스터!$A:$A,0))</f>
        <v>6110</v>
      </c>
      <c r="H956" s="0" t="n">
        <f aca="false">D956*G956</f>
        <v>37087700</v>
      </c>
    </row>
    <row r="957" customFormat="false" ht="15" hidden="false" customHeight="false" outlineLevel="0" collapsed="false">
      <c r="A957" s="0" t="s">
        <v>107</v>
      </c>
      <c r="B957" s="1" t="s">
        <v>21</v>
      </c>
      <c r="C957" s="1" t="s">
        <v>48</v>
      </c>
      <c r="D957" s="0" t="n">
        <v>4880</v>
      </c>
      <c r="E957" s="0" t="n">
        <v>12980</v>
      </c>
      <c r="F957" s="0" t="n">
        <f aca="false">D957*E957</f>
        <v>63342400</v>
      </c>
      <c r="G957" s="0" t="n">
        <f aca="false">INDEX(마스터!$E:$E,MATCH(C957,마스터!$A:$A,0))</f>
        <v>6440</v>
      </c>
      <c r="H957" s="0" t="n">
        <f aca="false">D957*G957</f>
        <v>31427200</v>
      </c>
    </row>
    <row r="958" customFormat="false" ht="15" hidden="false" customHeight="false" outlineLevel="0" collapsed="false">
      <c r="A958" s="0" t="s">
        <v>107</v>
      </c>
      <c r="B958" s="1" t="s">
        <v>22</v>
      </c>
      <c r="C958" s="1" t="s">
        <v>108</v>
      </c>
      <c r="D958" s="0" t="n">
        <v>4110</v>
      </c>
      <c r="E958" s="0" t="n">
        <v>14390</v>
      </c>
      <c r="F958" s="0" t="n">
        <f aca="false">D958*E958</f>
        <v>59142900</v>
      </c>
      <c r="G958" s="0" t="n">
        <f aca="false">INDEX(마스터!$E:$E,MATCH(C958,마스터!$A:$A,0))</f>
        <v>7290</v>
      </c>
      <c r="H958" s="0" t="n">
        <f aca="false">D958*G958</f>
        <v>29961900</v>
      </c>
    </row>
    <row r="959" customFormat="false" ht="15" hidden="false" customHeight="false" outlineLevel="0" collapsed="false">
      <c r="A959" s="0" t="s">
        <v>107</v>
      </c>
      <c r="B959" s="1" t="s">
        <v>22</v>
      </c>
      <c r="C959" s="1" t="s">
        <v>42</v>
      </c>
      <c r="D959" s="0" t="n">
        <v>7580</v>
      </c>
      <c r="E959" s="0" t="n">
        <v>13340</v>
      </c>
      <c r="F959" s="0" t="n">
        <f aca="false">D959*E959</f>
        <v>101117200</v>
      </c>
      <c r="G959" s="0" t="n">
        <f aca="false">INDEX(마스터!$E:$E,MATCH(C959,마스터!$A:$A,0))</f>
        <v>6730</v>
      </c>
      <c r="H959" s="0" t="n">
        <f aca="false">D959*G959</f>
        <v>51013400</v>
      </c>
    </row>
    <row r="960" customFormat="false" ht="15" hidden="false" customHeight="false" outlineLevel="0" collapsed="false">
      <c r="A960" s="0" t="s">
        <v>107</v>
      </c>
      <c r="B960" s="1" t="s">
        <v>23</v>
      </c>
      <c r="C960" s="1" t="s">
        <v>59</v>
      </c>
      <c r="D960" s="0" t="n">
        <v>5720</v>
      </c>
      <c r="E960" s="0" t="n">
        <v>13970</v>
      </c>
      <c r="F960" s="0" t="n">
        <f aca="false">D960*E960</f>
        <v>79908400</v>
      </c>
      <c r="G960" s="0" t="n">
        <f aca="false">INDEX(마스터!$E:$E,MATCH(C960,마스터!$A:$A,0))</f>
        <v>6520</v>
      </c>
      <c r="H960" s="0" t="n">
        <f aca="false">D960*G960</f>
        <v>37294400</v>
      </c>
    </row>
    <row r="961" customFormat="false" ht="15" hidden="false" customHeight="false" outlineLevel="0" collapsed="false">
      <c r="A961" s="0" t="s">
        <v>107</v>
      </c>
      <c r="B961" s="1" t="s">
        <v>23</v>
      </c>
      <c r="C961" s="1" t="s">
        <v>65</v>
      </c>
      <c r="D961" s="0" t="n">
        <v>4640</v>
      </c>
      <c r="E961" s="0" t="n">
        <v>14320</v>
      </c>
      <c r="F961" s="0" t="n">
        <f aca="false">D961*E961</f>
        <v>66444800</v>
      </c>
      <c r="G961" s="0" t="n">
        <f aca="false">INDEX(마스터!$E:$E,MATCH(C961,마스터!$A:$A,0))</f>
        <v>6670</v>
      </c>
      <c r="H961" s="0" t="n">
        <f aca="false">D961*G961</f>
        <v>30948800</v>
      </c>
    </row>
    <row r="962" customFormat="false" ht="15" hidden="false" customHeight="false" outlineLevel="0" collapsed="false">
      <c r="A962" s="0" t="s">
        <v>107</v>
      </c>
      <c r="B962" s="1" t="s">
        <v>25</v>
      </c>
      <c r="C962" s="1" t="s">
        <v>35</v>
      </c>
      <c r="D962" s="0" t="n">
        <v>3840</v>
      </c>
      <c r="E962" s="0" t="n">
        <v>10500</v>
      </c>
      <c r="F962" s="0" t="n">
        <f aca="false">D962*E962</f>
        <v>40320000</v>
      </c>
      <c r="G962" s="0" t="n">
        <f aca="false">INDEX(마스터!$E:$E,MATCH(C962,마스터!$A:$A,0))</f>
        <v>4920</v>
      </c>
      <c r="H962" s="0" t="n">
        <f aca="false">D962*G962</f>
        <v>18892800</v>
      </c>
    </row>
    <row r="963" customFormat="false" ht="15" hidden="false" customHeight="false" outlineLevel="0" collapsed="false">
      <c r="A963" s="0" t="s">
        <v>107</v>
      </c>
      <c r="B963" s="1" t="s">
        <v>25</v>
      </c>
      <c r="C963" s="1" t="s">
        <v>57</v>
      </c>
      <c r="D963" s="0" t="n">
        <v>4660</v>
      </c>
      <c r="E963" s="0" t="n">
        <v>10500</v>
      </c>
      <c r="F963" s="0" t="n">
        <f aca="false">D963*E963</f>
        <v>48930000</v>
      </c>
      <c r="G963" s="0" t="n">
        <f aca="false">INDEX(마스터!$E:$E,MATCH(C963,마스터!$A:$A,0))</f>
        <v>4870</v>
      </c>
      <c r="H963" s="0" t="n">
        <f aca="false">D963*G963</f>
        <v>22694200</v>
      </c>
    </row>
    <row r="964" customFormat="false" ht="15" hidden="false" customHeight="false" outlineLevel="0" collapsed="false">
      <c r="A964" s="0" t="s">
        <v>107</v>
      </c>
      <c r="B964" s="1" t="s">
        <v>24</v>
      </c>
      <c r="C964" s="1" t="s">
        <v>60</v>
      </c>
      <c r="D964" s="0" t="n">
        <v>1990</v>
      </c>
      <c r="E964" s="0" t="n">
        <v>13690</v>
      </c>
      <c r="F964" s="0" t="n">
        <f aca="false">D964*E964</f>
        <v>27243100</v>
      </c>
      <c r="G964" s="0" t="n">
        <f aca="false">INDEX(마스터!$E:$E,MATCH(C964,마스터!$A:$A,0))</f>
        <v>6980</v>
      </c>
      <c r="H964" s="0" t="n">
        <f aca="false">D964*G964</f>
        <v>13890200</v>
      </c>
    </row>
    <row r="965" customFormat="false" ht="15" hidden="false" customHeight="false" outlineLevel="0" collapsed="false">
      <c r="A965" s="0" t="s">
        <v>107</v>
      </c>
      <c r="B965" s="1" t="s">
        <v>24</v>
      </c>
      <c r="C965" s="1" t="s">
        <v>42</v>
      </c>
      <c r="D965" s="0" t="n">
        <v>4080</v>
      </c>
      <c r="E965" s="0" t="n">
        <v>13340</v>
      </c>
      <c r="F965" s="0" t="n">
        <f aca="false">D965*E965</f>
        <v>54427200</v>
      </c>
      <c r="G965" s="0" t="n">
        <f aca="false">INDEX(마스터!$E:$E,MATCH(C965,마스터!$A:$A,0))</f>
        <v>6730</v>
      </c>
      <c r="H965" s="0" t="n">
        <f aca="false">D965*G965</f>
        <v>27458400</v>
      </c>
    </row>
    <row r="966" customFormat="false" ht="15" hidden="false" customHeight="false" outlineLevel="0" collapsed="false">
      <c r="A966" s="0" t="s">
        <v>109</v>
      </c>
      <c r="B966" s="1" t="s">
        <v>14</v>
      </c>
      <c r="C966" s="1" t="s">
        <v>37</v>
      </c>
      <c r="D966" s="0" t="n">
        <v>7520</v>
      </c>
      <c r="E966" s="0" t="n">
        <v>9680</v>
      </c>
      <c r="F966" s="0" t="n">
        <f aca="false">D966*E966</f>
        <v>72793600</v>
      </c>
      <c r="G966" s="0" t="n">
        <f aca="false">INDEX(마스터!$E:$E,MATCH(C966,마스터!$A:$A,0))</f>
        <v>4900</v>
      </c>
      <c r="H966" s="0" t="n">
        <f aca="false">D966*G966</f>
        <v>36848000</v>
      </c>
    </row>
    <row r="967" customFormat="false" ht="15" hidden="false" customHeight="false" outlineLevel="0" collapsed="false">
      <c r="A967" s="0" t="s">
        <v>109</v>
      </c>
      <c r="B967" s="1" t="s">
        <v>14</v>
      </c>
      <c r="C967" s="1" t="s">
        <v>74</v>
      </c>
      <c r="D967" s="0" t="n">
        <v>5550</v>
      </c>
      <c r="E967" s="0" t="n">
        <v>10970</v>
      </c>
      <c r="F967" s="0" t="n">
        <f aca="false">D967*E967</f>
        <v>60883500</v>
      </c>
      <c r="G967" s="0" t="n">
        <f aca="false">INDEX(마스터!$E:$E,MATCH(C967,마스터!$A:$A,0))</f>
        <v>5400</v>
      </c>
      <c r="H967" s="0" t="n">
        <f aca="false">D967*G967</f>
        <v>29970000</v>
      </c>
    </row>
    <row r="968" customFormat="false" ht="15" hidden="false" customHeight="false" outlineLevel="0" collapsed="false">
      <c r="A968" s="0" t="s">
        <v>109</v>
      </c>
      <c r="B968" s="1" t="s">
        <v>14</v>
      </c>
      <c r="C968" s="1" t="s">
        <v>38</v>
      </c>
      <c r="D968" s="0" t="n">
        <v>7230</v>
      </c>
      <c r="E968" s="0" t="n">
        <v>11290</v>
      </c>
      <c r="F968" s="0" t="n">
        <f aca="false">D968*E968</f>
        <v>81626700</v>
      </c>
      <c r="G968" s="0" t="n">
        <f aca="false">INDEX(마스터!$E:$E,MATCH(C968,마스터!$A:$A,0))</f>
        <v>5670</v>
      </c>
      <c r="H968" s="0" t="n">
        <f aca="false">D968*G968</f>
        <v>40994100</v>
      </c>
    </row>
    <row r="969" customFormat="false" ht="15" hidden="false" customHeight="false" outlineLevel="0" collapsed="false">
      <c r="A969" s="0" t="s">
        <v>109</v>
      </c>
      <c r="B969" s="1" t="s">
        <v>14</v>
      </c>
      <c r="C969" s="1" t="s">
        <v>60</v>
      </c>
      <c r="D969" s="0" t="n">
        <v>4160</v>
      </c>
      <c r="E969" s="0" t="n">
        <v>12580</v>
      </c>
      <c r="F969" s="0" t="n">
        <f aca="false">D969*E969</f>
        <v>52332800</v>
      </c>
      <c r="G969" s="0" t="n">
        <f aca="false">INDEX(마스터!$E:$E,MATCH(C969,마스터!$A:$A,0))</f>
        <v>6980</v>
      </c>
      <c r="H969" s="0" t="n">
        <f aca="false">D969*G969</f>
        <v>29036800</v>
      </c>
    </row>
    <row r="970" customFormat="false" ht="15" hidden="false" customHeight="false" outlineLevel="0" collapsed="false">
      <c r="A970" s="0" t="s">
        <v>109</v>
      </c>
      <c r="B970" s="1" t="s">
        <v>14</v>
      </c>
      <c r="C970" s="1" t="s">
        <v>71</v>
      </c>
      <c r="D970" s="0" t="n">
        <v>4540</v>
      </c>
      <c r="E970" s="0" t="n">
        <v>8390</v>
      </c>
      <c r="F970" s="0" t="n">
        <f aca="false">D970*E970</f>
        <v>38090600</v>
      </c>
      <c r="G970" s="0" t="n">
        <f aca="false">INDEX(마스터!$E:$E,MATCH(C970,마스터!$A:$A,0))</f>
        <v>4330</v>
      </c>
      <c r="H970" s="0" t="n">
        <f aca="false">D970*G970</f>
        <v>19658200</v>
      </c>
    </row>
    <row r="971" customFormat="false" ht="15" hidden="false" customHeight="false" outlineLevel="0" collapsed="false">
      <c r="A971" s="0" t="s">
        <v>109</v>
      </c>
      <c r="B971" s="1" t="s">
        <v>14</v>
      </c>
      <c r="C971" s="1" t="s">
        <v>80</v>
      </c>
      <c r="D971" s="0" t="n">
        <v>5040</v>
      </c>
      <c r="E971" s="0" t="n">
        <v>9030</v>
      </c>
      <c r="F971" s="0" t="n">
        <f aca="false">D971*E971</f>
        <v>45511200</v>
      </c>
      <c r="G971" s="0" t="n">
        <f aca="false">INDEX(마스터!$E:$E,MATCH(C971,마스터!$A:$A,0))</f>
        <v>4690</v>
      </c>
      <c r="H971" s="0" t="n">
        <f aca="false">D971*G971</f>
        <v>23637600</v>
      </c>
    </row>
    <row r="972" customFormat="false" ht="15" hidden="false" customHeight="false" outlineLevel="0" collapsed="false">
      <c r="A972" s="0" t="s">
        <v>109</v>
      </c>
      <c r="B972" s="1" t="s">
        <v>15</v>
      </c>
      <c r="C972" s="1" t="s">
        <v>49</v>
      </c>
      <c r="D972" s="0" t="n">
        <v>6480</v>
      </c>
      <c r="E972" s="0" t="n">
        <v>10060</v>
      </c>
      <c r="F972" s="0" t="n">
        <f aca="false">D972*E972</f>
        <v>65188800</v>
      </c>
      <c r="G972" s="0" t="n">
        <f aca="false">INDEX(마스터!$E:$E,MATCH(C972,마스터!$A:$A,0))</f>
        <v>5430</v>
      </c>
      <c r="H972" s="0" t="n">
        <f aca="false">D972*G972</f>
        <v>35186400</v>
      </c>
    </row>
    <row r="973" customFormat="false" ht="15" hidden="false" customHeight="false" outlineLevel="0" collapsed="false">
      <c r="A973" s="0" t="s">
        <v>109</v>
      </c>
      <c r="B973" s="1" t="s">
        <v>15</v>
      </c>
      <c r="C973" s="1" t="s">
        <v>32</v>
      </c>
      <c r="D973" s="0" t="n">
        <v>5560</v>
      </c>
      <c r="E973" s="0" t="n">
        <v>11030</v>
      </c>
      <c r="F973" s="0" t="n">
        <f aca="false">D973*E973</f>
        <v>61326800</v>
      </c>
      <c r="G973" s="0" t="n">
        <f aca="false">INDEX(마스터!$E:$E,MATCH(C973,마스터!$A:$A,0))</f>
        <v>5790</v>
      </c>
      <c r="H973" s="0" t="n">
        <f aca="false">D973*G973</f>
        <v>32192400</v>
      </c>
    </row>
    <row r="974" customFormat="false" ht="15" hidden="false" customHeight="false" outlineLevel="0" collapsed="false">
      <c r="A974" s="0" t="s">
        <v>109</v>
      </c>
      <c r="B974" s="1" t="s">
        <v>15</v>
      </c>
      <c r="C974" s="1" t="s">
        <v>60</v>
      </c>
      <c r="D974" s="0" t="n">
        <v>4490</v>
      </c>
      <c r="E974" s="0" t="n">
        <v>12660</v>
      </c>
      <c r="F974" s="0" t="n">
        <f aca="false">D974*E974</f>
        <v>56843400</v>
      </c>
      <c r="G974" s="0" t="n">
        <f aca="false">INDEX(마스터!$E:$E,MATCH(C974,마스터!$A:$A,0))</f>
        <v>6980</v>
      </c>
      <c r="H974" s="0" t="n">
        <f aca="false">D974*G974</f>
        <v>31340200</v>
      </c>
    </row>
    <row r="975" customFormat="false" ht="15" hidden="false" customHeight="false" outlineLevel="0" collapsed="false">
      <c r="A975" s="0" t="s">
        <v>109</v>
      </c>
      <c r="B975" s="1" t="s">
        <v>15</v>
      </c>
      <c r="C975" s="1" t="s">
        <v>39</v>
      </c>
      <c r="D975" s="0" t="n">
        <v>5220</v>
      </c>
      <c r="E975" s="0" t="n">
        <v>11030</v>
      </c>
      <c r="F975" s="0" t="n">
        <f aca="false">D975*E975</f>
        <v>57576600</v>
      </c>
      <c r="G975" s="0" t="n">
        <f aca="false">INDEX(마스터!$E:$E,MATCH(C975,마스터!$A:$A,0))</f>
        <v>5660</v>
      </c>
      <c r="H975" s="0" t="n">
        <f aca="false">D975*G975</f>
        <v>29545200</v>
      </c>
    </row>
    <row r="976" customFormat="false" ht="15" hidden="false" customHeight="false" outlineLevel="0" collapsed="false">
      <c r="A976" s="0" t="s">
        <v>109</v>
      </c>
      <c r="B976" s="1" t="s">
        <v>15</v>
      </c>
      <c r="C976" s="1" t="s">
        <v>75</v>
      </c>
      <c r="D976" s="0" t="n">
        <v>5070</v>
      </c>
      <c r="E976" s="0" t="n">
        <v>11030</v>
      </c>
      <c r="F976" s="0" t="n">
        <f aca="false">D976*E976</f>
        <v>55922100</v>
      </c>
      <c r="G976" s="0" t="n">
        <f aca="false">INDEX(마스터!$E:$E,MATCH(C976,마스터!$A:$A,0))</f>
        <v>5440</v>
      </c>
      <c r="H976" s="0" t="n">
        <f aca="false">D976*G976</f>
        <v>27580800</v>
      </c>
    </row>
    <row r="977" customFormat="false" ht="15" hidden="false" customHeight="false" outlineLevel="0" collapsed="false">
      <c r="A977" s="0" t="s">
        <v>109</v>
      </c>
      <c r="B977" s="1" t="s">
        <v>15</v>
      </c>
      <c r="C977" s="1" t="s">
        <v>80</v>
      </c>
      <c r="D977" s="0" t="n">
        <v>5900</v>
      </c>
      <c r="E977" s="0" t="n">
        <v>9090</v>
      </c>
      <c r="F977" s="0" t="n">
        <f aca="false">D977*E977</f>
        <v>53631000</v>
      </c>
      <c r="G977" s="0" t="n">
        <f aca="false">INDEX(마스터!$E:$E,MATCH(C977,마스터!$A:$A,0))</f>
        <v>4690</v>
      </c>
      <c r="H977" s="0" t="n">
        <f aca="false">D977*G977</f>
        <v>27671000</v>
      </c>
    </row>
    <row r="978" customFormat="false" ht="15" hidden="false" customHeight="false" outlineLevel="0" collapsed="false">
      <c r="A978" s="0" t="s">
        <v>109</v>
      </c>
      <c r="B978" s="1" t="s">
        <v>16</v>
      </c>
      <c r="C978" s="1" t="s">
        <v>38</v>
      </c>
      <c r="D978" s="0" t="n">
        <v>5970</v>
      </c>
      <c r="E978" s="0" t="n">
        <v>12180</v>
      </c>
      <c r="F978" s="0" t="n">
        <f aca="false">D978*E978</f>
        <v>72714600</v>
      </c>
      <c r="G978" s="0" t="n">
        <f aca="false">INDEX(마스터!$E:$E,MATCH(C978,마스터!$A:$A,0))</f>
        <v>5670</v>
      </c>
      <c r="H978" s="0" t="n">
        <f aca="false">D978*G978</f>
        <v>33849900</v>
      </c>
    </row>
    <row r="979" customFormat="false" ht="15" hidden="false" customHeight="false" outlineLevel="0" collapsed="false">
      <c r="A979" s="0" t="s">
        <v>109</v>
      </c>
      <c r="B979" s="1" t="s">
        <v>16</v>
      </c>
      <c r="C979" s="1" t="s">
        <v>60</v>
      </c>
      <c r="D979" s="0" t="n">
        <v>4440</v>
      </c>
      <c r="E979" s="0" t="n">
        <v>13570</v>
      </c>
      <c r="F979" s="0" t="n">
        <f aca="false">D979*E979</f>
        <v>60250800</v>
      </c>
      <c r="G979" s="0" t="n">
        <f aca="false">INDEX(마스터!$E:$E,MATCH(C979,마스터!$A:$A,0))</f>
        <v>6980</v>
      </c>
      <c r="H979" s="0" t="n">
        <f aca="false">D979*G979</f>
        <v>30991200</v>
      </c>
    </row>
    <row r="980" customFormat="false" ht="15" hidden="false" customHeight="false" outlineLevel="0" collapsed="false">
      <c r="A980" s="0" t="s">
        <v>109</v>
      </c>
      <c r="B980" s="1" t="s">
        <v>16</v>
      </c>
      <c r="C980" s="1" t="s">
        <v>42</v>
      </c>
      <c r="D980" s="0" t="n">
        <v>6230</v>
      </c>
      <c r="E980" s="0" t="n">
        <v>13230</v>
      </c>
      <c r="F980" s="0" t="n">
        <f aca="false">D980*E980</f>
        <v>82422900</v>
      </c>
      <c r="G980" s="0" t="n">
        <f aca="false">INDEX(마스터!$E:$E,MATCH(C980,마스터!$A:$A,0))</f>
        <v>6730</v>
      </c>
      <c r="H980" s="0" t="n">
        <f aca="false">D980*G980</f>
        <v>41927900</v>
      </c>
    </row>
    <row r="981" customFormat="false" ht="15" hidden="false" customHeight="false" outlineLevel="0" collapsed="false">
      <c r="A981" s="0" t="s">
        <v>109</v>
      </c>
      <c r="B981" s="1" t="s">
        <v>16</v>
      </c>
      <c r="C981" s="1" t="s">
        <v>90</v>
      </c>
      <c r="D981" s="0" t="n">
        <v>4580</v>
      </c>
      <c r="E981" s="0" t="n">
        <v>11490</v>
      </c>
      <c r="F981" s="0" t="n">
        <f aca="false">D981*E981</f>
        <v>52624200</v>
      </c>
      <c r="G981" s="0" t="n">
        <f aca="false">INDEX(마스터!$E:$E,MATCH(C981,마스터!$A:$A,0))</f>
        <v>5290</v>
      </c>
      <c r="H981" s="0" t="n">
        <f aca="false">D981*G981</f>
        <v>24228200</v>
      </c>
    </row>
    <row r="982" customFormat="false" ht="15" hidden="false" customHeight="false" outlineLevel="0" collapsed="false">
      <c r="A982" s="0" t="s">
        <v>109</v>
      </c>
      <c r="B982" s="1" t="s">
        <v>16</v>
      </c>
      <c r="C982" s="1" t="s">
        <v>44</v>
      </c>
      <c r="D982" s="0" t="n">
        <v>5050</v>
      </c>
      <c r="E982" s="0" t="n">
        <v>11830</v>
      </c>
      <c r="F982" s="0" t="n">
        <f aca="false">D982*E982</f>
        <v>59741500</v>
      </c>
      <c r="G982" s="0" t="n">
        <f aca="false">INDEX(마스터!$E:$E,MATCH(C982,마스터!$A:$A,0))</f>
        <v>5500</v>
      </c>
      <c r="H982" s="0" t="n">
        <f aca="false">D982*G982</f>
        <v>27775000</v>
      </c>
    </row>
    <row r="983" customFormat="false" ht="15" hidden="false" customHeight="false" outlineLevel="0" collapsed="false">
      <c r="A983" s="0" t="s">
        <v>109</v>
      </c>
      <c r="B983" s="1" t="s">
        <v>17</v>
      </c>
      <c r="C983" s="1" t="s">
        <v>99</v>
      </c>
      <c r="D983" s="0" t="n">
        <v>2840</v>
      </c>
      <c r="E983" s="0" t="n">
        <v>11290</v>
      </c>
      <c r="F983" s="0" t="n">
        <f aca="false">D983*E983</f>
        <v>32063600</v>
      </c>
      <c r="G983" s="0" t="n">
        <f aca="false">INDEX(마스터!$E:$E,MATCH(C983,마스터!$A:$A,0))</f>
        <v>5750</v>
      </c>
      <c r="H983" s="0" t="n">
        <f aca="false">D983*G983</f>
        <v>16330000</v>
      </c>
    </row>
    <row r="984" customFormat="false" ht="15" hidden="false" customHeight="false" outlineLevel="0" collapsed="false">
      <c r="A984" s="0" t="s">
        <v>109</v>
      </c>
      <c r="B984" s="1" t="s">
        <v>17</v>
      </c>
      <c r="C984" s="1" t="s">
        <v>79</v>
      </c>
      <c r="D984" s="0" t="n">
        <v>3460</v>
      </c>
      <c r="E984" s="0" t="n">
        <v>10960</v>
      </c>
      <c r="F984" s="0" t="n">
        <f aca="false">D984*E984</f>
        <v>37921600</v>
      </c>
      <c r="G984" s="0" t="n">
        <f aca="false">INDEX(마스터!$E:$E,MATCH(C984,마스터!$A:$A,0))</f>
        <v>5990</v>
      </c>
      <c r="H984" s="0" t="n">
        <f aca="false">D984*G984</f>
        <v>20725400</v>
      </c>
    </row>
    <row r="985" customFormat="false" ht="15" hidden="false" customHeight="false" outlineLevel="0" collapsed="false">
      <c r="A985" s="0" t="s">
        <v>109</v>
      </c>
      <c r="B985" s="1" t="s">
        <v>17</v>
      </c>
      <c r="C985" s="1" t="s">
        <v>38</v>
      </c>
      <c r="D985" s="0" t="n">
        <v>4500</v>
      </c>
      <c r="E985" s="0" t="n">
        <v>11290</v>
      </c>
      <c r="F985" s="0" t="n">
        <f aca="false">D985*E985</f>
        <v>50805000</v>
      </c>
      <c r="G985" s="0" t="n">
        <f aca="false">INDEX(마스터!$E:$E,MATCH(C985,마스터!$A:$A,0))</f>
        <v>5670</v>
      </c>
      <c r="H985" s="0" t="n">
        <f aca="false">D985*G985</f>
        <v>25515000</v>
      </c>
    </row>
    <row r="986" customFormat="false" ht="15" hidden="false" customHeight="false" outlineLevel="0" collapsed="false">
      <c r="A986" s="0" t="s">
        <v>109</v>
      </c>
      <c r="B986" s="1" t="s">
        <v>17</v>
      </c>
      <c r="C986" s="1" t="s">
        <v>69</v>
      </c>
      <c r="D986" s="0" t="n">
        <v>3630</v>
      </c>
      <c r="E986" s="0" t="n">
        <v>11610</v>
      </c>
      <c r="F986" s="0" t="n">
        <f aca="false">D986*E986</f>
        <v>42144300</v>
      </c>
      <c r="G986" s="0" t="n">
        <f aca="false">INDEX(마스터!$E:$E,MATCH(C986,마스터!$A:$A,0))</f>
        <v>6140</v>
      </c>
      <c r="H986" s="0" t="n">
        <f aca="false">D986*G986</f>
        <v>22288200</v>
      </c>
    </row>
    <row r="987" customFormat="false" ht="15" hidden="false" customHeight="false" outlineLevel="0" collapsed="false">
      <c r="A987" s="0" t="s">
        <v>109</v>
      </c>
      <c r="B987" s="1" t="s">
        <v>17</v>
      </c>
      <c r="C987" s="1" t="s">
        <v>60</v>
      </c>
      <c r="D987" s="0" t="n">
        <v>2450</v>
      </c>
      <c r="E987" s="0" t="n">
        <v>12580</v>
      </c>
      <c r="F987" s="0" t="n">
        <f aca="false">D987*E987</f>
        <v>30821000</v>
      </c>
      <c r="G987" s="0" t="n">
        <f aca="false">INDEX(마스터!$E:$E,MATCH(C987,마스터!$A:$A,0))</f>
        <v>6980</v>
      </c>
      <c r="H987" s="0" t="n">
        <f aca="false">D987*G987</f>
        <v>17101000</v>
      </c>
    </row>
    <row r="988" customFormat="false" ht="15" hidden="false" customHeight="false" outlineLevel="0" collapsed="false">
      <c r="A988" s="0" t="s">
        <v>109</v>
      </c>
      <c r="B988" s="1" t="s">
        <v>17</v>
      </c>
      <c r="C988" s="1" t="s">
        <v>88</v>
      </c>
      <c r="D988" s="0" t="n">
        <v>4230</v>
      </c>
      <c r="E988" s="0" t="n">
        <v>10960</v>
      </c>
      <c r="F988" s="0" t="n">
        <f aca="false">D988*E988</f>
        <v>46360800</v>
      </c>
      <c r="G988" s="0" t="n">
        <f aca="false">INDEX(마스터!$E:$E,MATCH(C988,마스터!$A:$A,0))</f>
        <v>5930</v>
      </c>
      <c r="H988" s="0" t="n">
        <f aca="false">D988*G988</f>
        <v>25083900</v>
      </c>
    </row>
    <row r="989" customFormat="false" ht="15" hidden="false" customHeight="false" outlineLevel="0" collapsed="false">
      <c r="A989" s="0" t="s">
        <v>109</v>
      </c>
      <c r="B989" s="1" t="s">
        <v>18</v>
      </c>
      <c r="C989" s="1" t="s">
        <v>46</v>
      </c>
      <c r="D989" s="0" t="n">
        <v>5690</v>
      </c>
      <c r="E989" s="0" t="n">
        <v>14220</v>
      </c>
      <c r="F989" s="0" t="n">
        <f aca="false">D989*E989</f>
        <v>80911800</v>
      </c>
      <c r="G989" s="0" t="n">
        <f aca="false">INDEX(마스터!$E:$E,MATCH(C989,마스터!$A:$A,0))</f>
        <v>6910</v>
      </c>
      <c r="H989" s="0" t="n">
        <f aca="false">D989*G989</f>
        <v>39317900</v>
      </c>
    </row>
    <row r="990" customFormat="false" ht="15" hidden="false" customHeight="false" outlineLevel="0" collapsed="false">
      <c r="A990" s="0" t="s">
        <v>109</v>
      </c>
      <c r="B990" s="1" t="s">
        <v>18</v>
      </c>
      <c r="C990" s="1" t="s">
        <v>54</v>
      </c>
      <c r="D990" s="0" t="n">
        <v>3370</v>
      </c>
      <c r="E990" s="0" t="n">
        <v>13180</v>
      </c>
      <c r="F990" s="0" t="n">
        <f aca="false">D990*E990</f>
        <v>44416600</v>
      </c>
      <c r="G990" s="0" t="n">
        <f aca="false">INDEX(마스터!$E:$E,MATCH(C990,마스터!$A:$A,0))</f>
        <v>6790</v>
      </c>
      <c r="H990" s="0" t="n">
        <f aca="false">D990*G990</f>
        <v>22882300</v>
      </c>
    </row>
    <row r="991" customFormat="false" ht="15" hidden="false" customHeight="false" outlineLevel="0" collapsed="false">
      <c r="A991" s="0" t="s">
        <v>109</v>
      </c>
      <c r="B991" s="1" t="s">
        <v>18</v>
      </c>
      <c r="C991" s="1" t="s">
        <v>55</v>
      </c>
      <c r="D991" s="0" t="n">
        <v>6330</v>
      </c>
      <c r="E991" s="0" t="n">
        <v>12840</v>
      </c>
      <c r="F991" s="0" t="n">
        <f aca="false">D991*E991</f>
        <v>81277200</v>
      </c>
      <c r="G991" s="0" t="n">
        <f aca="false">INDEX(마스터!$E:$E,MATCH(C991,마스터!$A:$A,0))</f>
        <v>6040</v>
      </c>
      <c r="H991" s="0" t="n">
        <f aca="false">D991*G991</f>
        <v>38233200</v>
      </c>
    </row>
    <row r="992" customFormat="false" ht="15" hidden="false" customHeight="false" outlineLevel="0" collapsed="false">
      <c r="A992" s="0" t="s">
        <v>109</v>
      </c>
      <c r="B992" s="1" t="s">
        <v>18</v>
      </c>
      <c r="C992" s="1" t="s">
        <v>51</v>
      </c>
      <c r="D992" s="0" t="n">
        <v>4530</v>
      </c>
      <c r="E992" s="0" t="n">
        <v>14220</v>
      </c>
      <c r="F992" s="0" t="n">
        <f aca="false">D992*E992</f>
        <v>64416600</v>
      </c>
      <c r="G992" s="0" t="n">
        <f aca="false">INDEX(마스터!$E:$E,MATCH(C992,마스터!$A:$A,0))</f>
        <v>7480</v>
      </c>
      <c r="H992" s="0" t="n">
        <f aca="false">D992*G992</f>
        <v>33884400</v>
      </c>
    </row>
    <row r="993" customFormat="false" ht="15" hidden="false" customHeight="false" outlineLevel="0" collapsed="false">
      <c r="A993" s="0" t="s">
        <v>109</v>
      </c>
      <c r="B993" s="1" t="s">
        <v>19</v>
      </c>
      <c r="C993" s="1" t="s">
        <v>41</v>
      </c>
      <c r="D993" s="0" t="n">
        <v>3980</v>
      </c>
      <c r="E993" s="0" t="n">
        <v>11030</v>
      </c>
      <c r="F993" s="0" t="n">
        <f aca="false">D993*E993</f>
        <v>43899400</v>
      </c>
      <c r="G993" s="0" t="n">
        <f aca="false">INDEX(마스터!$E:$E,MATCH(C993,마스터!$A:$A,0))</f>
        <v>5480</v>
      </c>
      <c r="H993" s="0" t="n">
        <f aca="false">D993*G993</f>
        <v>21810400</v>
      </c>
    </row>
    <row r="994" customFormat="false" ht="15" hidden="false" customHeight="false" outlineLevel="0" collapsed="false">
      <c r="A994" s="0" t="s">
        <v>109</v>
      </c>
      <c r="B994" s="1" t="s">
        <v>19</v>
      </c>
      <c r="C994" s="1" t="s">
        <v>77</v>
      </c>
      <c r="D994" s="0" t="n">
        <v>4460</v>
      </c>
      <c r="E994" s="0" t="n">
        <v>11030</v>
      </c>
      <c r="F994" s="0" t="n">
        <f aca="false">D994*E994</f>
        <v>49193800</v>
      </c>
      <c r="G994" s="0" t="n">
        <f aca="false">INDEX(마스터!$E:$E,MATCH(C994,마스터!$A:$A,0))</f>
        <v>5380</v>
      </c>
      <c r="H994" s="0" t="n">
        <f aca="false">D994*G994</f>
        <v>23994800</v>
      </c>
    </row>
    <row r="995" customFormat="false" ht="15" hidden="false" customHeight="false" outlineLevel="0" collapsed="false">
      <c r="A995" s="0" t="s">
        <v>109</v>
      </c>
      <c r="B995" s="1" t="s">
        <v>19</v>
      </c>
      <c r="C995" s="1" t="s">
        <v>60</v>
      </c>
      <c r="D995" s="0" t="n">
        <v>1930</v>
      </c>
      <c r="E995" s="0" t="n">
        <v>12660</v>
      </c>
      <c r="F995" s="0" t="n">
        <f aca="false">D995*E995</f>
        <v>24433800</v>
      </c>
      <c r="G995" s="0" t="n">
        <f aca="false">INDEX(마스터!$E:$E,MATCH(C995,마스터!$A:$A,0))</f>
        <v>6980</v>
      </c>
      <c r="H995" s="0" t="n">
        <f aca="false">D995*G995</f>
        <v>13471400</v>
      </c>
    </row>
    <row r="996" customFormat="false" ht="15" hidden="false" customHeight="false" outlineLevel="0" collapsed="false">
      <c r="A996" s="0" t="s">
        <v>109</v>
      </c>
      <c r="B996" s="1" t="s">
        <v>19</v>
      </c>
      <c r="C996" s="1" t="s">
        <v>90</v>
      </c>
      <c r="D996" s="0" t="n">
        <v>2490</v>
      </c>
      <c r="E996" s="0" t="n">
        <v>10710</v>
      </c>
      <c r="F996" s="0" t="n">
        <f aca="false">D996*E996</f>
        <v>26667900</v>
      </c>
      <c r="G996" s="0" t="n">
        <f aca="false">INDEX(마스터!$E:$E,MATCH(C996,마스터!$A:$A,0))</f>
        <v>5290</v>
      </c>
      <c r="H996" s="0" t="n">
        <f aca="false">D996*G996</f>
        <v>13172100</v>
      </c>
    </row>
    <row r="997" customFormat="false" ht="15" hidden="false" customHeight="false" outlineLevel="0" collapsed="false">
      <c r="A997" s="0" t="s">
        <v>109</v>
      </c>
      <c r="B997" s="1" t="s">
        <v>19</v>
      </c>
      <c r="C997" s="1" t="s">
        <v>52</v>
      </c>
      <c r="D997" s="0" t="n">
        <v>2740</v>
      </c>
      <c r="E997" s="0" t="n">
        <v>10390</v>
      </c>
      <c r="F997" s="0" t="n">
        <f aca="false">D997*E997</f>
        <v>28468600</v>
      </c>
      <c r="G997" s="0" t="n">
        <f aca="false">INDEX(마스터!$E:$E,MATCH(C997,마스터!$A:$A,0))</f>
        <v>5110</v>
      </c>
      <c r="H997" s="0" t="n">
        <f aca="false">D997*G997</f>
        <v>14001400</v>
      </c>
    </row>
    <row r="998" customFormat="false" ht="15" hidden="false" customHeight="false" outlineLevel="0" collapsed="false">
      <c r="A998" s="0" t="s">
        <v>109</v>
      </c>
      <c r="B998" s="1" t="s">
        <v>20</v>
      </c>
      <c r="C998" s="1" t="s">
        <v>59</v>
      </c>
      <c r="D998" s="0" t="n">
        <v>3120</v>
      </c>
      <c r="E998" s="0" t="n">
        <v>13960</v>
      </c>
      <c r="F998" s="0" t="n">
        <f aca="false">D998*E998</f>
        <v>43555200</v>
      </c>
      <c r="G998" s="0" t="n">
        <f aca="false">INDEX(마스터!$E:$E,MATCH(C998,마스터!$A:$A,0))</f>
        <v>6520</v>
      </c>
      <c r="H998" s="0" t="n">
        <f aca="false">D998*G998</f>
        <v>20342400</v>
      </c>
    </row>
    <row r="999" customFormat="false" ht="15" hidden="false" customHeight="false" outlineLevel="0" collapsed="false">
      <c r="A999" s="0" t="s">
        <v>109</v>
      </c>
      <c r="B999" s="1" t="s">
        <v>20</v>
      </c>
      <c r="C999" s="1" t="s">
        <v>48</v>
      </c>
      <c r="D999" s="0" t="n">
        <v>2750</v>
      </c>
      <c r="E999" s="0" t="n">
        <v>12910</v>
      </c>
      <c r="F999" s="0" t="n">
        <f aca="false">D999*E999</f>
        <v>35502500</v>
      </c>
      <c r="G999" s="0" t="n">
        <f aca="false">INDEX(마스터!$E:$E,MATCH(C999,마스터!$A:$A,0))</f>
        <v>6440</v>
      </c>
      <c r="H999" s="0" t="n">
        <f aca="false">D999*G999</f>
        <v>17710000</v>
      </c>
    </row>
    <row r="1000" customFormat="false" ht="15" hidden="false" customHeight="false" outlineLevel="0" collapsed="false">
      <c r="A1000" s="0" t="s">
        <v>109</v>
      </c>
      <c r="B1000" s="1" t="s">
        <v>20</v>
      </c>
      <c r="C1000" s="1" t="s">
        <v>55</v>
      </c>
      <c r="D1000" s="0" t="n">
        <v>2750</v>
      </c>
      <c r="E1000" s="0" t="n">
        <v>12910</v>
      </c>
      <c r="F1000" s="0" t="n">
        <f aca="false">D1000*E1000</f>
        <v>35502500</v>
      </c>
      <c r="G1000" s="0" t="n">
        <f aca="false">INDEX(마스터!$E:$E,MATCH(C1000,마스터!$A:$A,0))</f>
        <v>6040</v>
      </c>
      <c r="H1000" s="0" t="n">
        <f aca="false">D1000*G1000</f>
        <v>16610000</v>
      </c>
    </row>
    <row r="1001" customFormat="false" ht="15" hidden="false" customHeight="false" outlineLevel="0" collapsed="false">
      <c r="A1001" s="0" t="s">
        <v>109</v>
      </c>
      <c r="B1001" s="1" t="s">
        <v>20</v>
      </c>
      <c r="C1001" s="1" t="s">
        <v>68</v>
      </c>
      <c r="D1001" s="0" t="n">
        <v>3300</v>
      </c>
      <c r="E1001" s="0" t="n">
        <v>10470</v>
      </c>
      <c r="F1001" s="0" t="n">
        <f aca="false">D1001*E1001</f>
        <v>34551000</v>
      </c>
      <c r="G1001" s="0" t="n">
        <f aca="false">INDEX(마스터!$E:$E,MATCH(C1001,마스터!$A:$A,0))</f>
        <v>4880</v>
      </c>
      <c r="H1001" s="0" t="n">
        <f aca="false">D1001*G1001</f>
        <v>16104000</v>
      </c>
    </row>
    <row r="1002" customFormat="false" ht="15" hidden="false" customHeight="false" outlineLevel="0" collapsed="false">
      <c r="A1002" s="0" t="s">
        <v>109</v>
      </c>
      <c r="B1002" s="1" t="s">
        <v>21</v>
      </c>
      <c r="C1002" s="1" t="s">
        <v>72</v>
      </c>
      <c r="D1002" s="0" t="n">
        <v>4990</v>
      </c>
      <c r="E1002" s="0" t="n">
        <v>12270</v>
      </c>
      <c r="F1002" s="0" t="n">
        <f aca="false">D1002*E1002</f>
        <v>61227300</v>
      </c>
      <c r="G1002" s="0" t="n">
        <f aca="false">INDEX(마스터!$E:$E,MATCH(C1002,마스터!$A:$A,0))</f>
        <v>5920</v>
      </c>
      <c r="H1002" s="0" t="n">
        <f aca="false">D1002*G1002</f>
        <v>29540800</v>
      </c>
    </row>
    <row r="1003" customFormat="false" ht="15" hidden="false" customHeight="false" outlineLevel="0" collapsed="false">
      <c r="A1003" s="0" t="s">
        <v>109</v>
      </c>
      <c r="B1003" s="1" t="s">
        <v>21</v>
      </c>
      <c r="C1003" s="1" t="s">
        <v>67</v>
      </c>
      <c r="D1003" s="0" t="n">
        <v>3740</v>
      </c>
      <c r="E1003" s="0" t="n">
        <v>9810</v>
      </c>
      <c r="F1003" s="0" t="n">
        <f aca="false">D1003*E1003</f>
        <v>36689400</v>
      </c>
      <c r="G1003" s="0" t="n">
        <f aca="false">INDEX(마스터!$E:$E,MATCH(C1003,마스터!$A:$A,0))</f>
        <v>4360</v>
      </c>
      <c r="H1003" s="0" t="n">
        <f aca="false">D1003*G1003</f>
        <v>16306400</v>
      </c>
    </row>
    <row r="1004" customFormat="false" ht="15" hidden="false" customHeight="false" outlineLevel="0" collapsed="false">
      <c r="A1004" s="0" t="s">
        <v>109</v>
      </c>
      <c r="B1004" s="1" t="s">
        <v>21</v>
      </c>
      <c r="C1004" s="1" t="s">
        <v>57</v>
      </c>
      <c r="D1004" s="0" t="n">
        <v>2740</v>
      </c>
      <c r="E1004" s="0" t="n">
        <v>10520</v>
      </c>
      <c r="F1004" s="0" t="n">
        <f aca="false">D1004*E1004</f>
        <v>28824800</v>
      </c>
      <c r="G1004" s="0" t="n">
        <f aca="false">INDEX(마스터!$E:$E,MATCH(C1004,마스터!$A:$A,0))</f>
        <v>4870</v>
      </c>
      <c r="H1004" s="0" t="n">
        <f aca="false">D1004*G1004</f>
        <v>13343800</v>
      </c>
    </row>
    <row r="1005" customFormat="false" ht="15" hidden="false" customHeight="false" outlineLevel="0" collapsed="false">
      <c r="A1005" s="0" t="s">
        <v>109</v>
      </c>
      <c r="B1005" s="1" t="s">
        <v>22</v>
      </c>
      <c r="C1005" s="1" t="s">
        <v>48</v>
      </c>
      <c r="D1005" s="0" t="n">
        <v>5580</v>
      </c>
      <c r="E1005" s="0" t="n">
        <v>12970</v>
      </c>
      <c r="F1005" s="0" t="n">
        <f aca="false">D1005*E1005</f>
        <v>72372600</v>
      </c>
      <c r="G1005" s="0" t="n">
        <f aca="false">INDEX(마스터!$E:$E,MATCH(C1005,마스터!$A:$A,0))</f>
        <v>6440</v>
      </c>
      <c r="H1005" s="0" t="n">
        <f aca="false">D1005*G1005</f>
        <v>35935200</v>
      </c>
    </row>
    <row r="1006" customFormat="false" ht="15" hidden="false" customHeight="false" outlineLevel="0" collapsed="false">
      <c r="A1006" s="0" t="s">
        <v>109</v>
      </c>
      <c r="B1006" s="1" t="s">
        <v>22</v>
      </c>
      <c r="C1006" s="1" t="s">
        <v>43</v>
      </c>
      <c r="D1006" s="0" t="n">
        <v>3940</v>
      </c>
      <c r="E1006" s="0" t="n">
        <v>12620</v>
      </c>
      <c r="F1006" s="0" t="n">
        <f aca="false">D1006*E1006</f>
        <v>49722800</v>
      </c>
      <c r="G1006" s="0" t="n">
        <f aca="false">INDEX(마스터!$E:$E,MATCH(C1006,마스터!$A:$A,0))</f>
        <v>6350</v>
      </c>
      <c r="H1006" s="0" t="n">
        <f aca="false">D1006*G1006</f>
        <v>25019000</v>
      </c>
    </row>
    <row r="1007" customFormat="false" ht="15" hidden="false" customHeight="false" outlineLevel="0" collapsed="false">
      <c r="A1007" s="0" t="s">
        <v>109</v>
      </c>
      <c r="B1007" s="1" t="s">
        <v>23</v>
      </c>
      <c r="C1007" s="1" t="s">
        <v>65</v>
      </c>
      <c r="D1007" s="0" t="n">
        <v>3690</v>
      </c>
      <c r="E1007" s="0" t="n">
        <v>14320</v>
      </c>
      <c r="F1007" s="0" t="n">
        <f aca="false">D1007*E1007</f>
        <v>52840800</v>
      </c>
      <c r="G1007" s="0" t="n">
        <f aca="false">INDEX(마스터!$E:$E,MATCH(C1007,마스터!$A:$A,0))</f>
        <v>6670</v>
      </c>
      <c r="H1007" s="0" t="n">
        <f aca="false">D1007*G1007</f>
        <v>24612300</v>
      </c>
    </row>
    <row r="1008" customFormat="false" ht="15" hidden="false" customHeight="false" outlineLevel="0" collapsed="false">
      <c r="A1008" s="0" t="s">
        <v>109</v>
      </c>
      <c r="B1008" s="1" t="s">
        <v>23</v>
      </c>
      <c r="C1008" s="1" t="s">
        <v>42</v>
      </c>
      <c r="D1008" s="0" t="n">
        <v>4750</v>
      </c>
      <c r="E1008" s="0" t="n">
        <v>13270</v>
      </c>
      <c r="F1008" s="0" t="n">
        <f aca="false">D1008*E1008</f>
        <v>63032500</v>
      </c>
      <c r="G1008" s="0" t="n">
        <f aca="false">INDEX(마스터!$E:$E,MATCH(C1008,마스터!$A:$A,0))</f>
        <v>6730</v>
      </c>
      <c r="H1008" s="0" t="n">
        <f aca="false">D1008*G1008</f>
        <v>31967500</v>
      </c>
    </row>
    <row r="1009" customFormat="false" ht="15" hidden="false" customHeight="false" outlineLevel="0" collapsed="false">
      <c r="A1009" s="0" t="s">
        <v>109</v>
      </c>
      <c r="B1009" s="1" t="s">
        <v>25</v>
      </c>
      <c r="C1009" s="1" t="s">
        <v>77</v>
      </c>
      <c r="D1009" s="0" t="n">
        <v>3650</v>
      </c>
      <c r="E1009" s="0" t="n">
        <v>11890</v>
      </c>
      <c r="F1009" s="0" t="n">
        <f aca="false">D1009*E1009</f>
        <v>43398500</v>
      </c>
      <c r="G1009" s="0" t="n">
        <f aca="false">INDEX(마스터!$E:$E,MATCH(C1009,마스터!$A:$A,0))</f>
        <v>5380</v>
      </c>
      <c r="H1009" s="0" t="n">
        <f aca="false">D1009*G1009</f>
        <v>19637000</v>
      </c>
    </row>
    <row r="1010" customFormat="false" ht="15" hidden="false" customHeight="false" outlineLevel="0" collapsed="false">
      <c r="A1010" s="0" t="s">
        <v>109</v>
      </c>
      <c r="B1010" s="1" t="s">
        <v>25</v>
      </c>
      <c r="C1010" s="1" t="s">
        <v>46</v>
      </c>
      <c r="D1010" s="0" t="n">
        <v>3270</v>
      </c>
      <c r="E1010" s="0" t="n">
        <v>14340</v>
      </c>
      <c r="F1010" s="0" t="n">
        <f aca="false">D1010*E1010</f>
        <v>46891800</v>
      </c>
      <c r="G1010" s="0" t="n">
        <f aca="false">INDEX(마스터!$E:$E,MATCH(C1010,마스터!$A:$A,0))</f>
        <v>6910</v>
      </c>
      <c r="H1010" s="0" t="n">
        <f aca="false">D1010*G1010</f>
        <v>22595700</v>
      </c>
    </row>
    <row r="1011" customFormat="false" ht="15" hidden="false" customHeight="false" outlineLevel="0" collapsed="false">
      <c r="A1011" s="0" t="s">
        <v>109</v>
      </c>
      <c r="B1011" s="1" t="s">
        <v>24</v>
      </c>
      <c r="C1011" s="1" t="s">
        <v>90</v>
      </c>
      <c r="D1011" s="0" t="n">
        <v>3430</v>
      </c>
      <c r="E1011" s="0" t="n">
        <v>11580</v>
      </c>
      <c r="F1011" s="0" t="n">
        <f aca="false">D1011*E1011</f>
        <v>39719400</v>
      </c>
      <c r="G1011" s="0" t="n">
        <f aca="false">INDEX(마스터!$E:$E,MATCH(C1011,마스터!$A:$A,0))</f>
        <v>5290</v>
      </c>
      <c r="H1011" s="0" t="n">
        <f aca="false">D1011*G1011</f>
        <v>18144700</v>
      </c>
    </row>
    <row r="1012" customFormat="false" ht="15" hidden="false" customHeight="false" outlineLevel="0" collapsed="false">
      <c r="A1012" s="0" t="s">
        <v>109</v>
      </c>
      <c r="B1012" s="1" t="s">
        <v>24</v>
      </c>
      <c r="C1012" s="1" t="s">
        <v>47</v>
      </c>
      <c r="D1012" s="0" t="n">
        <v>3500</v>
      </c>
      <c r="E1012" s="0" t="n">
        <v>9120</v>
      </c>
      <c r="F1012" s="0" t="n">
        <f aca="false">D1012*E1012</f>
        <v>31920000</v>
      </c>
      <c r="G1012" s="0" t="n">
        <f aca="false">INDEX(마스터!$E:$E,MATCH(C1012,마스터!$A:$A,0))</f>
        <v>4170</v>
      </c>
      <c r="H1012" s="0" t="n">
        <f aca="false">D1012*G1012</f>
        <v>14595000</v>
      </c>
    </row>
    <row r="1013" customFormat="false" ht="15" hidden="false" customHeight="false" outlineLevel="0" collapsed="false">
      <c r="A1013" s="0" t="s">
        <v>110</v>
      </c>
      <c r="B1013" s="1" t="s">
        <v>14</v>
      </c>
      <c r="C1013" s="1" t="s">
        <v>37</v>
      </c>
      <c r="D1013" s="0" t="n">
        <v>3850</v>
      </c>
      <c r="E1013" s="0" t="n">
        <v>9660</v>
      </c>
      <c r="F1013" s="0" t="n">
        <f aca="false">D1013*E1013</f>
        <v>37191000</v>
      </c>
      <c r="G1013" s="0" t="n">
        <f aca="false">INDEX(마스터!$E:$E,MATCH(C1013,마스터!$A:$A,0))</f>
        <v>4900</v>
      </c>
      <c r="H1013" s="0" t="n">
        <f aca="false">D1013*G1013</f>
        <v>18865000</v>
      </c>
    </row>
    <row r="1014" customFormat="false" ht="15" hidden="false" customHeight="false" outlineLevel="0" collapsed="false">
      <c r="A1014" s="0" t="s">
        <v>110</v>
      </c>
      <c r="B1014" s="1" t="s">
        <v>14</v>
      </c>
      <c r="C1014" s="1" t="s">
        <v>45</v>
      </c>
      <c r="D1014" s="0" t="n">
        <v>2160</v>
      </c>
      <c r="E1014" s="0" t="n">
        <v>11910</v>
      </c>
      <c r="F1014" s="0" t="n">
        <f aca="false">D1014*E1014</f>
        <v>25725600</v>
      </c>
      <c r="G1014" s="0" t="n">
        <f aca="false">INDEX(마스터!$E:$E,MATCH(C1014,마스터!$A:$A,0))</f>
        <v>6110</v>
      </c>
      <c r="H1014" s="0" t="n">
        <f aca="false">D1014*G1014</f>
        <v>13197600</v>
      </c>
    </row>
    <row r="1015" customFormat="false" ht="15" hidden="false" customHeight="false" outlineLevel="0" collapsed="false">
      <c r="A1015" s="0" t="s">
        <v>110</v>
      </c>
      <c r="B1015" s="1" t="s">
        <v>14</v>
      </c>
      <c r="C1015" s="1" t="s">
        <v>60</v>
      </c>
      <c r="D1015" s="0" t="n">
        <v>3920</v>
      </c>
      <c r="E1015" s="0" t="n">
        <v>12550</v>
      </c>
      <c r="F1015" s="0" t="n">
        <f aca="false">D1015*E1015</f>
        <v>49196000</v>
      </c>
      <c r="G1015" s="0" t="n">
        <f aca="false">INDEX(마스터!$E:$E,MATCH(C1015,마스터!$A:$A,0))</f>
        <v>6980</v>
      </c>
      <c r="H1015" s="0" t="n">
        <f aca="false">D1015*G1015</f>
        <v>27361600</v>
      </c>
    </row>
    <row r="1016" customFormat="false" ht="15" hidden="false" customHeight="false" outlineLevel="0" collapsed="false">
      <c r="A1016" s="0" t="s">
        <v>110</v>
      </c>
      <c r="B1016" s="1" t="s">
        <v>14</v>
      </c>
      <c r="C1016" s="1" t="s">
        <v>64</v>
      </c>
      <c r="D1016" s="0" t="n">
        <v>2540</v>
      </c>
      <c r="E1016" s="0" t="n">
        <v>11590</v>
      </c>
      <c r="F1016" s="0" t="n">
        <f aca="false">D1016*E1016</f>
        <v>29438600</v>
      </c>
      <c r="G1016" s="0" t="n">
        <f aca="false">INDEX(마스터!$E:$E,MATCH(C1016,마스터!$A:$A,0))</f>
        <v>5890</v>
      </c>
      <c r="H1016" s="0" t="n">
        <f aca="false">D1016*G1016</f>
        <v>14960600</v>
      </c>
    </row>
    <row r="1017" customFormat="false" ht="15" hidden="false" customHeight="false" outlineLevel="0" collapsed="false">
      <c r="A1017" s="0" t="s">
        <v>110</v>
      </c>
      <c r="B1017" s="1" t="s">
        <v>14</v>
      </c>
      <c r="C1017" s="1" t="s">
        <v>42</v>
      </c>
      <c r="D1017" s="0" t="n">
        <v>6590</v>
      </c>
      <c r="E1017" s="0" t="n">
        <v>12230</v>
      </c>
      <c r="F1017" s="0" t="n">
        <f aca="false">D1017*E1017</f>
        <v>80595700</v>
      </c>
      <c r="G1017" s="0" t="n">
        <f aca="false">INDEX(마스터!$E:$E,MATCH(C1017,마스터!$A:$A,0))</f>
        <v>6730</v>
      </c>
      <c r="H1017" s="0" t="n">
        <f aca="false">D1017*G1017</f>
        <v>44350700</v>
      </c>
    </row>
    <row r="1018" customFormat="false" ht="15" hidden="false" customHeight="false" outlineLevel="0" collapsed="false">
      <c r="A1018" s="0" t="s">
        <v>110</v>
      </c>
      <c r="B1018" s="1" t="s">
        <v>14</v>
      </c>
      <c r="C1018" s="1" t="s">
        <v>66</v>
      </c>
      <c r="D1018" s="0" t="n">
        <v>4840</v>
      </c>
      <c r="E1018" s="0" t="n">
        <v>11910</v>
      </c>
      <c r="F1018" s="0" t="n">
        <f aca="false">D1018*E1018</f>
        <v>57644400</v>
      </c>
      <c r="G1018" s="0" t="n">
        <f aca="false">INDEX(마스터!$E:$E,MATCH(C1018,마스터!$A:$A,0))</f>
        <v>6360</v>
      </c>
      <c r="H1018" s="0" t="n">
        <f aca="false">D1018*G1018</f>
        <v>30782400</v>
      </c>
    </row>
    <row r="1019" customFormat="false" ht="15" hidden="false" customHeight="false" outlineLevel="0" collapsed="false">
      <c r="A1019" s="0" t="s">
        <v>110</v>
      </c>
      <c r="B1019" s="1" t="s">
        <v>14</v>
      </c>
      <c r="C1019" s="1" t="s">
        <v>88</v>
      </c>
      <c r="D1019" s="0" t="n">
        <v>3370</v>
      </c>
      <c r="E1019" s="0" t="n">
        <v>10950</v>
      </c>
      <c r="F1019" s="0" t="n">
        <f aca="false">D1019*E1019</f>
        <v>36901500</v>
      </c>
      <c r="G1019" s="0" t="n">
        <f aca="false">INDEX(마스터!$E:$E,MATCH(C1019,마스터!$A:$A,0))</f>
        <v>5930</v>
      </c>
      <c r="H1019" s="0" t="n">
        <f aca="false">D1019*G1019</f>
        <v>19984100</v>
      </c>
    </row>
    <row r="1020" customFormat="false" ht="15" hidden="false" customHeight="false" outlineLevel="0" collapsed="false">
      <c r="A1020" s="0" t="s">
        <v>110</v>
      </c>
      <c r="B1020" s="1" t="s">
        <v>15</v>
      </c>
      <c r="C1020" s="1" t="s">
        <v>45</v>
      </c>
      <c r="D1020" s="0" t="n">
        <v>1880</v>
      </c>
      <c r="E1020" s="0" t="n">
        <v>12010</v>
      </c>
      <c r="F1020" s="0" t="n">
        <f aca="false">D1020*E1020</f>
        <v>22578800</v>
      </c>
      <c r="G1020" s="0" t="n">
        <f aca="false">INDEX(마스터!$E:$E,MATCH(C1020,마스터!$A:$A,0))</f>
        <v>6110</v>
      </c>
      <c r="H1020" s="0" t="n">
        <f aca="false">D1020*G1020</f>
        <v>11486800</v>
      </c>
    </row>
    <row r="1021" customFormat="false" ht="15" hidden="false" customHeight="false" outlineLevel="0" collapsed="false">
      <c r="A1021" s="0" t="s">
        <v>110</v>
      </c>
      <c r="B1021" s="1" t="s">
        <v>15</v>
      </c>
      <c r="C1021" s="1" t="s">
        <v>38</v>
      </c>
      <c r="D1021" s="0" t="n">
        <v>3320</v>
      </c>
      <c r="E1021" s="0" t="n">
        <v>11360</v>
      </c>
      <c r="F1021" s="0" t="n">
        <f aca="false">D1021*E1021</f>
        <v>37715200</v>
      </c>
      <c r="G1021" s="0" t="n">
        <f aca="false">INDEX(마스터!$E:$E,MATCH(C1021,마스터!$A:$A,0))</f>
        <v>5670</v>
      </c>
      <c r="H1021" s="0" t="n">
        <f aca="false">D1021*G1021</f>
        <v>18824400</v>
      </c>
    </row>
    <row r="1022" customFormat="false" ht="15" hidden="false" customHeight="false" outlineLevel="0" collapsed="false">
      <c r="A1022" s="0" t="s">
        <v>110</v>
      </c>
      <c r="B1022" s="1" t="s">
        <v>15</v>
      </c>
      <c r="C1022" s="1" t="s">
        <v>77</v>
      </c>
      <c r="D1022" s="0" t="n">
        <v>3690</v>
      </c>
      <c r="E1022" s="0" t="n">
        <v>11030</v>
      </c>
      <c r="F1022" s="0" t="n">
        <f aca="false">D1022*E1022</f>
        <v>40700700</v>
      </c>
      <c r="G1022" s="0" t="n">
        <f aca="false">INDEX(마스터!$E:$E,MATCH(C1022,마스터!$A:$A,0))</f>
        <v>5380</v>
      </c>
      <c r="H1022" s="0" t="n">
        <f aca="false">D1022*G1022</f>
        <v>19852200</v>
      </c>
    </row>
    <row r="1023" customFormat="false" ht="15" hidden="false" customHeight="false" outlineLevel="0" collapsed="false">
      <c r="A1023" s="0" t="s">
        <v>110</v>
      </c>
      <c r="B1023" s="1" t="s">
        <v>15</v>
      </c>
      <c r="C1023" s="1" t="s">
        <v>60</v>
      </c>
      <c r="D1023" s="0" t="n">
        <v>2340</v>
      </c>
      <c r="E1023" s="0" t="n">
        <v>12660</v>
      </c>
      <c r="F1023" s="0" t="n">
        <f aca="false">D1023*E1023</f>
        <v>29624400</v>
      </c>
      <c r="G1023" s="0" t="n">
        <f aca="false">INDEX(마스터!$E:$E,MATCH(C1023,마스터!$A:$A,0))</f>
        <v>6980</v>
      </c>
      <c r="H1023" s="0" t="n">
        <f aca="false">D1023*G1023</f>
        <v>16333200</v>
      </c>
    </row>
    <row r="1024" customFormat="false" ht="15" hidden="false" customHeight="false" outlineLevel="0" collapsed="false">
      <c r="A1024" s="0" t="s">
        <v>110</v>
      </c>
      <c r="B1024" s="1" t="s">
        <v>15</v>
      </c>
      <c r="C1024" s="1" t="s">
        <v>48</v>
      </c>
      <c r="D1024" s="0" t="n">
        <v>4090</v>
      </c>
      <c r="E1024" s="0" t="n">
        <v>12010</v>
      </c>
      <c r="F1024" s="0" t="n">
        <f aca="false">D1024*E1024</f>
        <v>49120900</v>
      </c>
      <c r="G1024" s="0" t="n">
        <f aca="false">INDEX(마스터!$E:$E,MATCH(C1024,마스터!$A:$A,0))</f>
        <v>6440</v>
      </c>
      <c r="H1024" s="0" t="n">
        <f aca="false">D1024*G1024</f>
        <v>26339600</v>
      </c>
    </row>
    <row r="1025" customFormat="false" ht="15" hidden="false" customHeight="false" outlineLevel="0" collapsed="false">
      <c r="A1025" s="0" t="s">
        <v>110</v>
      </c>
      <c r="B1025" s="1" t="s">
        <v>15</v>
      </c>
      <c r="C1025" s="1" t="s">
        <v>42</v>
      </c>
      <c r="D1025" s="0" t="n">
        <v>4310</v>
      </c>
      <c r="E1025" s="0" t="n">
        <v>12330</v>
      </c>
      <c r="F1025" s="0" t="n">
        <f aca="false">D1025*E1025</f>
        <v>53142300</v>
      </c>
      <c r="G1025" s="0" t="n">
        <f aca="false">INDEX(마스터!$E:$E,MATCH(C1025,마스터!$A:$A,0))</f>
        <v>6730</v>
      </c>
      <c r="H1025" s="0" t="n">
        <f aca="false">D1025*G1025</f>
        <v>29006300</v>
      </c>
    </row>
    <row r="1026" customFormat="false" ht="15" hidden="false" customHeight="false" outlineLevel="0" collapsed="false">
      <c r="A1026" s="0" t="s">
        <v>110</v>
      </c>
      <c r="B1026" s="1" t="s">
        <v>15</v>
      </c>
      <c r="C1026" s="1" t="s">
        <v>56</v>
      </c>
      <c r="D1026" s="0" t="n">
        <v>2880</v>
      </c>
      <c r="E1026" s="0" t="n">
        <v>10060</v>
      </c>
      <c r="F1026" s="0" t="n">
        <f aca="false">D1026*E1026</f>
        <v>28972800</v>
      </c>
      <c r="G1026" s="0" t="n">
        <f aca="false">INDEX(마스터!$E:$E,MATCH(C1026,마스터!$A:$A,0))</f>
        <v>5470</v>
      </c>
      <c r="H1026" s="0" t="n">
        <f aca="false">D1026*G1026</f>
        <v>15753600</v>
      </c>
    </row>
    <row r="1027" customFormat="false" ht="15" hidden="false" customHeight="false" outlineLevel="0" collapsed="false">
      <c r="A1027" s="0" t="s">
        <v>110</v>
      </c>
      <c r="B1027" s="1" t="s">
        <v>15</v>
      </c>
      <c r="C1027" s="1" t="s">
        <v>47</v>
      </c>
      <c r="D1027" s="0" t="n">
        <v>3500</v>
      </c>
      <c r="E1027" s="0" t="n">
        <v>8440</v>
      </c>
      <c r="F1027" s="0" t="n">
        <f aca="false">D1027*E1027</f>
        <v>29540000</v>
      </c>
      <c r="G1027" s="0" t="n">
        <f aca="false">INDEX(마스터!$E:$E,MATCH(C1027,마스터!$A:$A,0))</f>
        <v>4170</v>
      </c>
      <c r="H1027" s="0" t="n">
        <f aca="false">D1027*G1027</f>
        <v>14595000</v>
      </c>
    </row>
    <row r="1028" customFormat="false" ht="15" hidden="false" customHeight="false" outlineLevel="0" collapsed="false">
      <c r="A1028" s="0" t="s">
        <v>110</v>
      </c>
      <c r="B1028" s="1" t="s">
        <v>16</v>
      </c>
      <c r="C1028" s="1" t="s">
        <v>45</v>
      </c>
      <c r="D1028" s="0" t="n">
        <v>1680</v>
      </c>
      <c r="E1028" s="0" t="n">
        <v>12860</v>
      </c>
      <c r="F1028" s="0" t="n">
        <f aca="false">D1028*E1028</f>
        <v>21604800</v>
      </c>
      <c r="G1028" s="0" t="n">
        <f aca="false">INDEX(마스터!$E:$E,MATCH(C1028,마스터!$A:$A,0))</f>
        <v>6110</v>
      </c>
      <c r="H1028" s="0" t="n">
        <f aca="false">D1028*G1028</f>
        <v>10264800</v>
      </c>
    </row>
    <row r="1029" customFormat="false" ht="15" hidden="false" customHeight="false" outlineLevel="0" collapsed="false">
      <c r="A1029" s="0" t="s">
        <v>110</v>
      </c>
      <c r="B1029" s="1" t="s">
        <v>16</v>
      </c>
      <c r="C1029" s="1" t="s">
        <v>38</v>
      </c>
      <c r="D1029" s="0" t="n">
        <v>3310</v>
      </c>
      <c r="E1029" s="0" t="n">
        <v>12170</v>
      </c>
      <c r="F1029" s="0" t="n">
        <f aca="false">D1029*E1029</f>
        <v>40282700</v>
      </c>
      <c r="G1029" s="0" t="n">
        <f aca="false">INDEX(마스터!$E:$E,MATCH(C1029,마스터!$A:$A,0))</f>
        <v>5670</v>
      </c>
      <c r="H1029" s="0" t="n">
        <f aca="false">D1029*G1029</f>
        <v>18767700</v>
      </c>
    </row>
    <row r="1030" customFormat="false" ht="15" hidden="false" customHeight="false" outlineLevel="0" collapsed="false">
      <c r="A1030" s="0" t="s">
        <v>110</v>
      </c>
      <c r="B1030" s="1" t="s">
        <v>16</v>
      </c>
      <c r="C1030" s="1" t="s">
        <v>60</v>
      </c>
      <c r="D1030" s="0" t="n">
        <v>2820</v>
      </c>
      <c r="E1030" s="0" t="n">
        <v>13560</v>
      </c>
      <c r="F1030" s="0" t="n">
        <f aca="false">D1030*E1030</f>
        <v>38239200</v>
      </c>
      <c r="G1030" s="0" t="n">
        <f aca="false">INDEX(마스터!$E:$E,MATCH(C1030,마스터!$A:$A,0))</f>
        <v>6980</v>
      </c>
      <c r="H1030" s="0" t="n">
        <f aca="false">D1030*G1030</f>
        <v>19683600</v>
      </c>
    </row>
    <row r="1031" customFormat="false" ht="15" hidden="false" customHeight="false" outlineLevel="0" collapsed="false">
      <c r="A1031" s="0" t="s">
        <v>110</v>
      </c>
      <c r="B1031" s="1" t="s">
        <v>16</v>
      </c>
      <c r="C1031" s="1" t="s">
        <v>42</v>
      </c>
      <c r="D1031" s="0" t="n">
        <v>4610</v>
      </c>
      <c r="E1031" s="0" t="n">
        <v>13210</v>
      </c>
      <c r="F1031" s="0" t="n">
        <f aca="false">D1031*E1031</f>
        <v>60898100</v>
      </c>
      <c r="G1031" s="0" t="n">
        <f aca="false">INDEX(마스터!$E:$E,MATCH(C1031,마스터!$A:$A,0))</f>
        <v>6730</v>
      </c>
      <c r="H1031" s="0" t="n">
        <f aca="false">D1031*G1031</f>
        <v>31025300</v>
      </c>
    </row>
    <row r="1032" customFormat="false" ht="15" hidden="false" customHeight="false" outlineLevel="0" collapsed="false">
      <c r="A1032" s="0" t="s">
        <v>110</v>
      </c>
      <c r="B1032" s="1" t="s">
        <v>16</v>
      </c>
      <c r="C1032" s="1" t="s">
        <v>43</v>
      </c>
      <c r="D1032" s="0" t="n">
        <v>2820</v>
      </c>
      <c r="E1032" s="0" t="n">
        <v>12510</v>
      </c>
      <c r="F1032" s="0" t="n">
        <f aca="false">D1032*E1032</f>
        <v>35278200</v>
      </c>
      <c r="G1032" s="0" t="n">
        <f aca="false">INDEX(마스터!$E:$E,MATCH(C1032,마스터!$A:$A,0))</f>
        <v>6350</v>
      </c>
      <c r="H1032" s="0" t="n">
        <f aca="false">D1032*G1032</f>
        <v>17907000</v>
      </c>
    </row>
    <row r="1033" customFormat="false" ht="15" hidden="false" customHeight="false" outlineLevel="0" collapsed="false">
      <c r="A1033" s="0" t="s">
        <v>110</v>
      </c>
      <c r="B1033" s="1" t="s">
        <v>16</v>
      </c>
      <c r="C1033" s="1" t="s">
        <v>75</v>
      </c>
      <c r="D1033" s="0" t="n">
        <v>2730</v>
      </c>
      <c r="E1033" s="0" t="n">
        <v>11820</v>
      </c>
      <c r="F1033" s="0" t="n">
        <f aca="false">D1033*E1033</f>
        <v>32268600</v>
      </c>
      <c r="G1033" s="0" t="n">
        <f aca="false">INDEX(마스터!$E:$E,MATCH(C1033,마스터!$A:$A,0))</f>
        <v>5440</v>
      </c>
      <c r="H1033" s="0" t="n">
        <f aca="false">D1033*G1033</f>
        <v>14851200</v>
      </c>
    </row>
    <row r="1034" customFormat="false" ht="15" hidden="false" customHeight="false" outlineLevel="0" collapsed="false">
      <c r="A1034" s="0" t="s">
        <v>110</v>
      </c>
      <c r="B1034" s="1" t="s">
        <v>16</v>
      </c>
      <c r="C1034" s="1" t="s">
        <v>90</v>
      </c>
      <c r="D1034" s="0" t="n">
        <v>2660</v>
      </c>
      <c r="E1034" s="0" t="n">
        <v>11470</v>
      </c>
      <c r="F1034" s="0" t="n">
        <f aca="false">D1034*E1034</f>
        <v>30510200</v>
      </c>
      <c r="G1034" s="0" t="n">
        <f aca="false">INDEX(마스터!$E:$E,MATCH(C1034,마스터!$A:$A,0))</f>
        <v>5290</v>
      </c>
      <c r="H1034" s="0" t="n">
        <f aca="false">D1034*G1034</f>
        <v>14071400</v>
      </c>
    </row>
    <row r="1035" customFormat="false" ht="15" hidden="false" customHeight="false" outlineLevel="0" collapsed="false">
      <c r="A1035" s="0" t="s">
        <v>110</v>
      </c>
      <c r="B1035" s="1" t="s">
        <v>17</v>
      </c>
      <c r="C1035" s="1" t="s">
        <v>79</v>
      </c>
      <c r="D1035" s="0" t="n">
        <v>1610</v>
      </c>
      <c r="E1035" s="0" t="n">
        <v>10980</v>
      </c>
      <c r="F1035" s="0" t="n">
        <f aca="false">D1035*E1035</f>
        <v>17677800</v>
      </c>
      <c r="G1035" s="0" t="n">
        <f aca="false">INDEX(마스터!$E:$E,MATCH(C1035,마스터!$A:$A,0))</f>
        <v>5990</v>
      </c>
      <c r="H1035" s="0" t="n">
        <f aca="false">D1035*G1035</f>
        <v>9643900</v>
      </c>
    </row>
    <row r="1036" customFormat="false" ht="15" hidden="false" customHeight="false" outlineLevel="0" collapsed="false">
      <c r="A1036" s="0" t="s">
        <v>110</v>
      </c>
      <c r="B1036" s="1" t="s">
        <v>17</v>
      </c>
      <c r="C1036" s="1" t="s">
        <v>45</v>
      </c>
      <c r="D1036" s="0" t="n">
        <v>1030</v>
      </c>
      <c r="E1036" s="0" t="n">
        <v>11950</v>
      </c>
      <c r="F1036" s="0" t="n">
        <f aca="false">D1036*E1036</f>
        <v>12308500</v>
      </c>
      <c r="G1036" s="0" t="n">
        <f aca="false">INDEX(마스터!$E:$E,MATCH(C1036,마스터!$A:$A,0))</f>
        <v>6110</v>
      </c>
      <c r="H1036" s="0" t="n">
        <f aca="false">D1036*G1036</f>
        <v>6293300</v>
      </c>
    </row>
    <row r="1037" customFormat="false" ht="15" hidden="false" customHeight="false" outlineLevel="0" collapsed="false">
      <c r="A1037" s="0" t="s">
        <v>110</v>
      </c>
      <c r="B1037" s="1" t="s">
        <v>17</v>
      </c>
      <c r="C1037" s="1" t="s">
        <v>41</v>
      </c>
      <c r="D1037" s="0" t="n">
        <v>2600</v>
      </c>
      <c r="E1037" s="0" t="n">
        <v>10980</v>
      </c>
      <c r="F1037" s="0" t="n">
        <f aca="false">D1037*E1037</f>
        <v>28548000</v>
      </c>
      <c r="G1037" s="0" t="n">
        <f aca="false">INDEX(마스터!$E:$E,MATCH(C1037,마스터!$A:$A,0))</f>
        <v>5480</v>
      </c>
      <c r="H1037" s="0" t="n">
        <f aca="false">D1037*G1037</f>
        <v>14248000</v>
      </c>
    </row>
    <row r="1038" customFormat="false" ht="15" hidden="false" customHeight="false" outlineLevel="0" collapsed="false">
      <c r="A1038" s="0" t="s">
        <v>110</v>
      </c>
      <c r="B1038" s="1" t="s">
        <v>17</v>
      </c>
      <c r="C1038" s="1" t="s">
        <v>60</v>
      </c>
      <c r="D1038" s="0" t="n">
        <v>2870</v>
      </c>
      <c r="E1038" s="0" t="n">
        <v>12600</v>
      </c>
      <c r="F1038" s="0" t="n">
        <f aca="false">D1038*E1038</f>
        <v>36162000</v>
      </c>
      <c r="G1038" s="0" t="n">
        <f aca="false">INDEX(마스터!$E:$E,MATCH(C1038,마스터!$A:$A,0))</f>
        <v>6980</v>
      </c>
      <c r="H1038" s="0" t="n">
        <f aca="false">D1038*G1038</f>
        <v>20032600</v>
      </c>
    </row>
    <row r="1039" customFormat="false" ht="15" hidden="false" customHeight="false" outlineLevel="0" collapsed="false">
      <c r="A1039" s="0" t="s">
        <v>110</v>
      </c>
      <c r="B1039" s="1" t="s">
        <v>17</v>
      </c>
      <c r="C1039" s="1" t="s">
        <v>42</v>
      </c>
      <c r="D1039" s="0" t="n">
        <v>4400</v>
      </c>
      <c r="E1039" s="0" t="n">
        <v>12270</v>
      </c>
      <c r="F1039" s="0" t="n">
        <f aca="false">D1039*E1039</f>
        <v>53988000</v>
      </c>
      <c r="G1039" s="0" t="n">
        <f aca="false">INDEX(마스터!$E:$E,MATCH(C1039,마스터!$A:$A,0))</f>
        <v>6730</v>
      </c>
      <c r="H1039" s="0" t="n">
        <f aca="false">D1039*G1039</f>
        <v>29612000</v>
      </c>
    </row>
    <row r="1040" customFormat="false" ht="15" hidden="false" customHeight="false" outlineLevel="0" collapsed="false">
      <c r="A1040" s="0" t="s">
        <v>110</v>
      </c>
      <c r="B1040" s="1" t="s">
        <v>17</v>
      </c>
      <c r="C1040" s="1" t="s">
        <v>35</v>
      </c>
      <c r="D1040" s="0" t="n">
        <v>2440</v>
      </c>
      <c r="E1040" s="0" t="n">
        <v>9690</v>
      </c>
      <c r="F1040" s="0" t="n">
        <f aca="false">D1040*E1040</f>
        <v>23643600</v>
      </c>
      <c r="G1040" s="0" t="n">
        <f aca="false">INDEX(마스터!$E:$E,MATCH(C1040,마스터!$A:$A,0))</f>
        <v>4920</v>
      </c>
      <c r="H1040" s="0" t="n">
        <f aca="false">D1040*G1040</f>
        <v>12004800</v>
      </c>
    </row>
    <row r="1041" customFormat="false" ht="15" hidden="false" customHeight="false" outlineLevel="0" collapsed="false">
      <c r="A1041" s="0" t="s">
        <v>110</v>
      </c>
      <c r="B1041" s="1" t="s">
        <v>17</v>
      </c>
      <c r="C1041" s="1" t="s">
        <v>36</v>
      </c>
      <c r="D1041" s="0" t="n">
        <v>1970</v>
      </c>
      <c r="E1041" s="0" t="n">
        <v>9370</v>
      </c>
      <c r="F1041" s="0" t="n">
        <f aca="false">D1041*E1041</f>
        <v>18458900</v>
      </c>
      <c r="G1041" s="0" t="n">
        <f aca="false">INDEX(마스터!$E:$E,MATCH(C1041,마스터!$A:$A,0))</f>
        <v>4540</v>
      </c>
      <c r="H1041" s="0" t="n">
        <f aca="false">D1041*G1041</f>
        <v>8943800</v>
      </c>
    </row>
    <row r="1042" customFormat="false" ht="15" hidden="false" customHeight="false" outlineLevel="0" collapsed="false">
      <c r="A1042" s="0" t="s">
        <v>110</v>
      </c>
      <c r="B1042" s="1" t="s">
        <v>18</v>
      </c>
      <c r="C1042" s="1" t="s">
        <v>41</v>
      </c>
      <c r="D1042" s="0" t="n">
        <v>4130</v>
      </c>
      <c r="E1042" s="0" t="n">
        <v>11760</v>
      </c>
      <c r="F1042" s="0" t="n">
        <f aca="false">D1042*E1042</f>
        <v>48568800</v>
      </c>
      <c r="G1042" s="0" t="n">
        <f aca="false">INDEX(마스터!$E:$E,MATCH(C1042,마스터!$A:$A,0))</f>
        <v>5480</v>
      </c>
      <c r="H1042" s="0" t="n">
        <f aca="false">D1042*G1042</f>
        <v>22632400</v>
      </c>
    </row>
    <row r="1043" customFormat="false" ht="15" hidden="false" customHeight="false" outlineLevel="0" collapsed="false">
      <c r="A1043" s="0" t="s">
        <v>110</v>
      </c>
      <c r="B1043" s="1" t="s">
        <v>18</v>
      </c>
      <c r="C1043" s="1" t="s">
        <v>60</v>
      </c>
      <c r="D1043" s="0" t="n">
        <v>2900</v>
      </c>
      <c r="E1043" s="0" t="n">
        <v>13480</v>
      </c>
      <c r="F1043" s="0" t="n">
        <f aca="false">D1043*E1043</f>
        <v>39092000</v>
      </c>
      <c r="G1043" s="0" t="n">
        <f aca="false">INDEX(마스터!$E:$E,MATCH(C1043,마스터!$A:$A,0))</f>
        <v>6980</v>
      </c>
      <c r="H1043" s="0" t="n">
        <f aca="false">D1043*G1043</f>
        <v>20242000</v>
      </c>
    </row>
    <row r="1044" customFormat="false" ht="15" hidden="false" customHeight="false" outlineLevel="0" collapsed="false">
      <c r="A1044" s="0" t="s">
        <v>110</v>
      </c>
      <c r="B1044" s="1" t="s">
        <v>18</v>
      </c>
      <c r="C1044" s="1" t="s">
        <v>46</v>
      </c>
      <c r="D1044" s="0" t="n">
        <v>3610</v>
      </c>
      <c r="E1044" s="0" t="n">
        <v>14180</v>
      </c>
      <c r="F1044" s="0" t="n">
        <f aca="false">D1044*E1044</f>
        <v>51189800</v>
      </c>
      <c r="G1044" s="0" t="n">
        <f aca="false">INDEX(마스터!$E:$E,MATCH(C1044,마스터!$A:$A,0))</f>
        <v>6910</v>
      </c>
      <c r="H1044" s="0" t="n">
        <f aca="false">D1044*G1044</f>
        <v>24945100</v>
      </c>
    </row>
    <row r="1045" customFormat="false" ht="15" hidden="false" customHeight="false" outlineLevel="0" collapsed="false">
      <c r="A1045" s="0" t="s">
        <v>110</v>
      </c>
      <c r="B1045" s="1" t="s">
        <v>18</v>
      </c>
      <c r="C1045" s="1" t="s">
        <v>72</v>
      </c>
      <c r="D1045" s="0" t="n">
        <v>4240</v>
      </c>
      <c r="E1045" s="0" t="n">
        <v>12100</v>
      </c>
      <c r="F1045" s="0" t="n">
        <f aca="false">D1045*E1045</f>
        <v>51304000</v>
      </c>
      <c r="G1045" s="0" t="n">
        <f aca="false">INDEX(마스터!$E:$E,MATCH(C1045,마스터!$A:$A,0))</f>
        <v>5920</v>
      </c>
      <c r="H1045" s="0" t="n">
        <f aca="false">D1045*G1045</f>
        <v>25100800</v>
      </c>
    </row>
    <row r="1046" customFormat="false" ht="15" hidden="false" customHeight="false" outlineLevel="0" collapsed="false">
      <c r="A1046" s="0" t="s">
        <v>110</v>
      </c>
      <c r="B1046" s="1" t="s">
        <v>19</v>
      </c>
      <c r="C1046" s="1" t="s">
        <v>45</v>
      </c>
      <c r="D1046" s="0" t="n">
        <v>1210</v>
      </c>
      <c r="E1046" s="0" t="n">
        <v>11980</v>
      </c>
      <c r="F1046" s="0" t="n">
        <f aca="false">D1046*E1046</f>
        <v>14495800</v>
      </c>
      <c r="G1046" s="0" t="n">
        <f aca="false">INDEX(마스터!$E:$E,MATCH(C1046,마스터!$A:$A,0))</f>
        <v>6110</v>
      </c>
      <c r="H1046" s="0" t="n">
        <f aca="false">D1046*G1046</f>
        <v>7393100</v>
      </c>
    </row>
    <row r="1047" customFormat="false" ht="15" hidden="false" customHeight="false" outlineLevel="0" collapsed="false">
      <c r="A1047" s="0" t="s">
        <v>110</v>
      </c>
      <c r="B1047" s="1" t="s">
        <v>19</v>
      </c>
      <c r="C1047" s="1" t="s">
        <v>38</v>
      </c>
      <c r="D1047" s="0" t="n">
        <v>2520</v>
      </c>
      <c r="E1047" s="0" t="n">
        <v>11340</v>
      </c>
      <c r="F1047" s="0" t="n">
        <f aca="false">D1047*E1047</f>
        <v>28576800</v>
      </c>
      <c r="G1047" s="0" t="n">
        <f aca="false">INDEX(마스터!$E:$E,MATCH(C1047,마스터!$A:$A,0))</f>
        <v>5670</v>
      </c>
      <c r="H1047" s="0" t="n">
        <f aca="false">D1047*G1047</f>
        <v>14288400</v>
      </c>
    </row>
    <row r="1048" customFormat="false" ht="15" hidden="false" customHeight="false" outlineLevel="0" collapsed="false">
      <c r="A1048" s="0" t="s">
        <v>110</v>
      </c>
      <c r="B1048" s="1" t="s">
        <v>19</v>
      </c>
      <c r="C1048" s="1" t="s">
        <v>59</v>
      </c>
      <c r="D1048" s="0" t="n">
        <v>2700</v>
      </c>
      <c r="E1048" s="0" t="n">
        <v>12950</v>
      </c>
      <c r="F1048" s="0" t="n">
        <f aca="false">D1048*E1048</f>
        <v>34965000</v>
      </c>
      <c r="G1048" s="0" t="n">
        <f aca="false">INDEX(마스터!$E:$E,MATCH(C1048,마스터!$A:$A,0))</f>
        <v>6520</v>
      </c>
      <c r="H1048" s="0" t="n">
        <f aca="false">D1048*G1048</f>
        <v>17604000</v>
      </c>
    </row>
    <row r="1049" customFormat="false" ht="15" hidden="false" customHeight="false" outlineLevel="0" collapsed="false">
      <c r="A1049" s="0" t="s">
        <v>110</v>
      </c>
      <c r="B1049" s="1" t="s">
        <v>19</v>
      </c>
      <c r="C1049" s="1" t="s">
        <v>42</v>
      </c>
      <c r="D1049" s="0" t="n">
        <v>2960</v>
      </c>
      <c r="E1049" s="0" t="n">
        <v>12310</v>
      </c>
      <c r="F1049" s="0" t="n">
        <f aca="false">D1049*E1049</f>
        <v>36437600</v>
      </c>
      <c r="G1049" s="0" t="n">
        <f aca="false">INDEX(마스터!$E:$E,MATCH(C1049,마스터!$A:$A,0))</f>
        <v>6730</v>
      </c>
      <c r="H1049" s="0" t="n">
        <f aca="false">D1049*G1049</f>
        <v>19920800</v>
      </c>
    </row>
    <row r="1050" customFormat="false" ht="15" hidden="false" customHeight="false" outlineLevel="0" collapsed="false">
      <c r="A1050" s="0" t="s">
        <v>110</v>
      </c>
      <c r="B1050" s="1" t="s">
        <v>19</v>
      </c>
      <c r="C1050" s="1" t="s">
        <v>66</v>
      </c>
      <c r="D1050" s="0" t="n">
        <v>2940</v>
      </c>
      <c r="E1050" s="0" t="n">
        <v>11980</v>
      </c>
      <c r="F1050" s="0" t="n">
        <f aca="false">D1050*E1050</f>
        <v>35221200</v>
      </c>
      <c r="G1050" s="0" t="n">
        <f aca="false">INDEX(마스터!$E:$E,MATCH(C1050,마스터!$A:$A,0))</f>
        <v>6360</v>
      </c>
      <c r="H1050" s="0" t="n">
        <f aca="false">D1050*G1050</f>
        <v>18698400</v>
      </c>
    </row>
    <row r="1051" customFormat="false" ht="15" hidden="false" customHeight="false" outlineLevel="0" collapsed="false">
      <c r="A1051" s="0" t="s">
        <v>110</v>
      </c>
      <c r="B1051" s="1" t="s">
        <v>20</v>
      </c>
      <c r="C1051" s="1" t="s">
        <v>32</v>
      </c>
      <c r="D1051" s="0" t="n">
        <v>2150</v>
      </c>
      <c r="E1051" s="0" t="n">
        <v>11810</v>
      </c>
      <c r="F1051" s="0" t="n">
        <f aca="false">D1051*E1051</f>
        <v>25391500</v>
      </c>
      <c r="G1051" s="0" t="n">
        <f aca="false">INDEX(마스터!$E:$E,MATCH(C1051,마스터!$A:$A,0))</f>
        <v>5790</v>
      </c>
      <c r="H1051" s="0" t="n">
        <f aca="false">D1051*G1051</f>
        <v>12448500</v>
      </c>
    </row>
    <row r="1052" customFormat="false" ht="15" hidden="false" customHeight="false" outlineLevel="0" collapsed="false">
      <c r="A1052" s="0" t="s">
        <v>110</v>
      </c>
      <c r="B1052" s="1" t="s">
        <v>20</v>
      </c>
      <c r="C1052" s="1" t="s">
        <v>59</v>
      </c>
      <c r="D1052" s="0" t="n">
        <v>2710</v>
      </c>
      <c r="E1052" s="0" t="n">
        <v>13900</v>
      </c>
      <c r="F1052" s="0" t="n">
        <f aca="false">D1052*E1052</f>
        <v>37669000</v>
      </c>
      <c r="G1052" s="0" t="n">
        <f aca="false">INDEX(마스터!$E:$E,MATCH(C1052,마스터!$A:$A,0))</f>
        <v>6520</v>
      </c>
      <c r="H1052" s="0" t="n">
        <f aca="false">D1052*G1052</f>
        <v>17669200</v>
      </c>
    </row>
    <row r="1053" customFormat="false" ht="15" hidden="false" customHeight="false" outlineLevel="0" collapsed="false">
      <c r="A1053" s="0" t="s">
        <v>110</v>
      </c>
      <c r="B1053" s="1" t="s">
        <v>20</v>
      </c>
      <c r="C1053" s="1" t="s">
        <v>54</v>
      </c>
      <c r="D1053" s="0" t="n">
        <v>2260</v>
      </c>
      <c r="E1053" s="0" t="n">
        <v>13200</v>
      </c>
      <c r="F1053" s="0" t="n">
        <f aca="false">D1053*E1053</f>
        <v>29832000</v>
      </c>
      <c r="G1053" s="0" t="n">
        <f aca="false">INDEX(마스터!$E:$E,MATCH(C1053,마스터!$A:$A,0))</f>
        <v>6790</v>
      </c>
      <c r="H1053" s="0" t="n">
        <f aca="false">D1053*G1053</f>
        <v>15345400</v>
      </c>
    </row>
    <row r="1054" customFormat="false" ht="15" hidden="false" customHeight="false" outlineLevel="0" collapsed="false">
      <c r="A1054" s="0" t="s">
        <v>110</v>
      </c>
      <c r="B1054" s="1" t="s">
        <v>20</v>
      </c>
      <c r="C1054" s="1" t="s">
        <v>65</v>
      </c>
      <c r="D1054" s="0" t="n">
        <v>2090</v>
      </c>
      <c r="E1054" s="0" t="n">
        <v>14240</v>
      </c>
      <c r="F1054" s="0" t="n">
        <f aca="false">D1054*E1054</f>
        <v>29761600</v>
      </c>
      <c r="G1054" s="0" t="n">
        <f aca="false">INDEX(마스터!$E:$E,MATCH(C1054,마스터!$A:$A,0))</f>
        <v>6670</v>
      </c>
      <c r="H1054" s="0" t="n">
        <f aca="false">D1054*G1054</f>
        <v>13940300</v>
      </c>
    </row>
    <row r="1055" customFormat="false" ht="15" hidden="false" customHeight="false" outlineLevel="0" collapsed="false">
      <c r="A1055" s="0" t="s">
        <v>110</v>
      </c>
      <c r="B1055" s="1" t="s">
        <v>21</v>
      </c>
      <c r="C1055" s="1" t="s">
        <v>37</v>
      </c>
      <c r="D1055" s="0" t="n">
        <v>3250</v>
      </c>
      <c r="E1055" s="0" t="n">
        <v>10510</v>
      </c>
      <c r="F1055" s="0" t="n">
        <f aca="false">D1055*E1055</f>
        <v>34157500</v>
      </c>
      <c r="G1055" s="0" t="n">
        <f aca="false">INDEX(마스터!$E:$E,MATCH(C1055,마스터!$A:$A,0))</f>
        <v>4900</v>
      </c>
      <c r="H1055" s="0" t="n">
        <f aca="false">D1055*G1055</f>
        <v>15925000</v>
      </c>
    </row>
    <row r="1056" customFormat="false" ht="15" hidden="false" customHeight="false" outlineLevel="0" collapsed="false">
      <c r="A1056" s="0" t="s">
        <v>110</v>
      </c>
      <c r="B1056" s="1" t="s">
        <v>21</v>
      </c>
      <c r="C1056" s="1" t="s">
        <v>45</v>
      </c>
      <c r="D1056" s="0" t="n">
        <v>1710</v>
      </c>
      <c r="E1056" s="0" t="n">
        <v>12960</v>
      </c>
      <c r="F1056" s="0" t="n">
        <f aca="false">D1056*E1056</f>
        <v>22161600</v>
      </c>
      <c r="G1056" s="0" t="n">
        <f aca="false">INDEX(마스터!$E:$E,MATCH(C1056,마스터!$A:$A,0))</f>
        <v>6110</v>
      </c>
      <c r="H1056" s="0" t="n">
        <f aca="false">D1056*G1056</f>
        <v>10448100</v>
      </c>
    </row>
    <row r="1057" customFormat="false" ht="15" hidden="false" customHeight="false" outlineLevel="0" collapsed="false">
      <c r="A1057" s="0" t="s">
        <v>110</v>
      </c>
      <c r="B1057" s="1" t="s">
        <v>21</v>
      </c>
      <c r="C1057" s="1" t="s">
        <v>36</v>
      </c>
      <c r="D1057" s="0" t="n">
        <v>1820</v>
      </c>
      <c r="E1057" s="0" t="n">
        <v>10160</v>
      </c>
      <c r="F1057" s="0" t="n">
        <f aca="false">D1057*E1057</f>
        <v>18491200</v>
      </c>
      <c r="G1057" s="0" t="n">
        <f aca="false">INDEX(마스터!$E:$E,MATCH(C1057,마스터!$A:$A,0))</f>
        <v>4540</v>
      </c>
      <c r="H1057" s="0" t="n">
        <f aca="false">D1057*G1057</f>
        <v>8262800</v>
      </c>
    </row>
    <row r="1058" customFormat="false" ht="15" hidden="false" customHeight="false" outlineLevel="0" collapsed="false">
      <c r="A1058" s="0" t="s">
        <v>110</v>
      </c>
      <c r="B1058" s="1" t="s">
        <v>22</v>
      </c>
      <c r="C1058" s="1" t="s">
        <v>42</v>
      </c>
      <c r="D1058" s="0" t="n">
        <v>3590</v>
      </c>
      <c r="E1058" s="0" t="n">
        <v>13330</v>
      </c>
      <c r="F1058" s="0" t="n">
        <f aca="false">D1058*E1058</f>
        <v>47854700</v>
      </c>
      <c r="G1058" s="0" t="n">
        <f aca="false">INDEX(마스터!$E:$E,MATCH(C1058,마스터!$A:$A,0))</f>
        <v>6730</v>
      </c>
      <c r="H1058" s="0" t="n">
        <f aca="false">D1058*G1058</f>
        <v>24160700</v>
      </c>
    </row>
    <row r="1059" customFormat="false" ht="15" hidden="false" customHeight="false" outlineLevel="0" collapsed="false">
      <c r="A1059" s="0" t="s">
        <v>110</v>
      </c>
      <c r="B1059" s="1" t="s">
        <v>22</v>
      </c>
      <c r="C1059" s="1" t="s">
        <v>72</v>
      </c>
      <c r="D1059" s="0" t="n">
        <v>3970</v>
      </c>
      <c r="E1059" s="0" t="n">
        <v>12280</v>
      </c>
      <c r="F1059" s="0" t="n">
        <f aca="false">D1059*E1059</f>
        <v>48751600</v>
      </c>
      <c r="G1059" s="0" t="n">
        <f aca="false">INDEX(마스터!$E:$E,MATCH(C1059,마스터!$A:$A,0))</f>
        <v>5920</v>
      </c>
      <c r="H1059" s="0" t="n">
        <f aca="false">D1059*G1059</f>
        <v>23502400</v>
      </c>
    </row>
    <row r="1060" customFormat="false" ht="15" hidden="false" customHeight="false" outlineLevel="0" collapsed="false">
      <c r="A1060" s="0" t="s">
        <v>110</v>
      </c>
      <c r="B1060" s="1" t="s">
        <v>23</v>
      </c>
      <c r="C1060" s="1" t="s">
        <v>59</v>
      </c>
      <c r="D1060" s="0" t="n">
        <v>3610</v>
      </c>
      <c r="E1060" s="0" t="n">
        <v>13970</v>
      </c>
      <c r="F1060" s="0" t="n">
        <f aca="false">D1060*E1060</f>
        <v>50431700</v>
      </c>
      <c r="G1060" s="0" t="n">
        <f aca="false">INDEX(마스터!$E:$E,MATCH(C1060,마스터!$A:$A,0))</f>
        <v>6520</v>
      </c>
      <c r="H1060" s="0" t="n">
        <f aca="false">D1060*G1060</f>
        <v>23537200</v>
      </c>
    </row>
    <row r="1061" customFormat="false" ht="15" hidden="false" customHeight="false" outlineLevel="0" collapsed="false">
      <c r="A1061" s="0" t="s">
        <v>110</v>
      </c>
      <c r="B1061" s="1" t="s">
        <v>23</v>
      </c>
      <c r="C1061" s="1" t="s">
        <v>48</v>
      </c>
      <c r="D1061" s="0" t="n">
        <v>2910</v>
      </c>
      <c r="E1061" s="0" t="n">
        <v>12920</v>
      </c>
      <c r="F1061" s="0" t="n">
        <f aca="false">D1061*E1061</f>
        <v>37597200</v>
      </c>
      <c r="G1061" s="0" t="n">
        <f aca="false">INDEX(마스터!$E:$E,MATCH(C1061,마스터!$A:$A,0))</f>
        <v>6440</v>
      </c>
      <c r="H1061" s="0" t="n">
        <f aca="false">D1061*G1061</f>
        <v>18740400</v>
      </c>
    </row>
    <row r="1062" customFormat="false" ht="15" hidden="false" customHeight="false" outlineLevel="0" collapsed="false">
      <c r="A1062" s="0" t="s">
        <v>110</v>
      </c>
      <c r="B1062" s="1" t="s">
        <v>25</v>
      </c>
      <c r="C1062" s="1" t="s">
        <v>61</v>
      </c>
      <c r="D1062" s="0" t="n">
        <v>3200</v>
      </c>
      <c r="E1062" s="0" t="n">
        <v>10860</v>
      </c>
      <c r="F1062" s="0" t="n">
        <f aca="false">D1062*E1062</f>
        <v>34752000</v>
      </c>
      <c r="G1062" s="0" t="n">
        <f aca="false">INDEX(마스터!$E:$E,MATCH(C1062,마스터!$A:$A,0))</f>
        <v>5390</v>
      </c>
      <c r="H1062" s="0" t="n">
        <f aca="false">D1062*G1062</f>
        <v>17248000</v>
      </c>
    </row>
    <row r="1063" customFormat="false" ht="15" hidden="false" customHeight="false" outlineLevel="0" collapsed="false">
      <c r="A1063" s="0" t="s">
        <v>110</v>
      </c>
      <c r="B1063" s="1" t="s">
        <v>25</v>
      </c>
      <c r="C1063" s="1" t="s">
        <v>77</v>
      </c>
      <c r="D1063" s="0" t="n">
        <v>2150</v>
      </c>
      <c r="E1063" s="0" t="n">
        <v>11910</v>
      </c>
      <c r="F1063" s="0" t="n">
        <f aca="false">D1063*E1063</f>
        <v>25606500</v>
      </c>
      <c r="G1063" s="0" t="n">
        <f aca="false">INDEX(마스터!$E:$E,MATCH(C1063,마스터!$A:$A,0))</f>
        <v>5380</v>
      </c>
      <c r="H1063" s="0" t="n">
        <f aca="false">D1063*G1063</f>
        <v>11567000</v>
      </c>
    </row>
    <row r="1064" customFormat="false" ht="15" hidden="false" customHeight="false" outlineLevel="0" collapsed="false">
      <c r="A1064" s="0" t="s">
        <v>110</v>
      </c>
      <c r="B1064" s="1" t="s">
        <v>24</v>
      </c>
      <c r="C1064" s="1" t="s">
        <v>41</v>
      </c>
      <c r="D1064" s="0" t="n">
        <v>2500</v>
      </c>
      <c r="E1064" s="0" t="n">
        <v>11890</v>
      </c>
      <c r="F1064" s="0" t="n">
        <f aca="false">D1064*E1064</f>
        <v>29725000</v>
      </c>
      <c r="G1064" s="0" t="n">
        <f aca="false">INDEX(마스터!$E:$E,MATCH(C1064,마스터!$A:$A,0))</f>
        <v>5480</v>
      </c>
      <c r="H1064" s="0" t="n">
        <f aca="false">D1064*G1064</f>
        <v>13700000</v>
      </c>
    </row>
    <row r="1065" customFormat="false" ht="15" hidden="false" customHeight="false" outlineLevel="0" collapsed="false">
      <c r="A1065" s="0" t="s">
        <v>110</v>
      </c>
      <c r="B1065" s="1" t="s">
        <v>24</v>
      </c>
      <c r="C1065" s="1" t="s">
        <v>60</v>
      </c>
      <c r="D1065" s="0" t="n">
        <v>2420</v>
      </c>
      <c r="E1065" s="0" t="n">
        <v>13640</v>
      </c>
      <c r="F1065" s="0" t="n">
        <f aca="false">D1065*E1065</f>
        <v>33008800</v>
      </c>
      <c r="G1065" s="0" t="n">
        <f aca="false">INDEX(마스터!$E:$E,MATCH(C1065,마스터!$A:$A,0))</f>
        <v>6980</v>
      </c>
      <c r="H1065" s="0" t="n">
        <f aca="false">D1065*G1065</f>
        <v>16891600</v>
      </c>
    </row>
    <row r="1066" customFormat="false" ht="15" hidden="false" customHeight="false" outlineLevel="0" collapsed="false">
      <c r="A1066" s="0" t="s">
        <v>111</v>
      </c>
      <c r="B1066" s="1" t="s">
        <v>14</v>
      </c>
      <c r="C1066" s="1" t="s">
        <v>45</v>
      </c>
      <c r="D1066" s="0" t="n">
        <v>3590</v>
      </c>
      <c r="E1066" s="0" t="n">
        <v>11920</v>
      </c>
      <c r="F1066" s="0" t="n">
        <f aca="false">D1066*E1066</f>
        <v>42792800</v>
      </c>
      <c r="G1066" s="0" t="n">
        <f aca="false">INDEX(마스터!$E:$E,MATCH(C1066,마스터!$A:$A,0))</f>
        <v>6110</v>
      </c>
      <c r="H1066" s="0" t="n">
        <f aca="false">D1066*G1066</f>
        <v>21934900</v>
      </c>
    </row>
    <row r="1067" customFormat="false" ht="15" hidden="false" customHeight="false" outlineLevel="0" collapsed="false">
      <c r="A1067" s="0" t="s">
        <v>111</v>
      </c>
      <c r="B1067" s="1" t="s">
        <v>14</v>
      </c>
      <c r="C1067" s="1" t="s">
        <v>112</v>
      </c>
      <c r="D1067" s="0" t="n">
        <v>2460</v>
      </c>
      <c r="E1067" s="0" t="n">
        <v>12250</v>
      </c>
      <c r="F1067" s="0" t="n">
        <f aca="false">D1067*E1067</f>
        <v>30135000</v>
      </c>
      <c r="G1067" s="0" t="n">
        <f aca="false">INDEX(마스터!$E:$E,MATCH(C1067,마스터!$A:$A,0))</f>
        <v>6470</v>
      </c>
      <c r="H1067" s="0" t="n">
        <f aca="false">D1067*G1067</f>
        <v>15916200</v>
      </c>
    </row>
    <row r="1068" customFormat="false" ht="15" hidden="false" customHeight="false" outlineLevel="0" collapsed="false">
      <c r="A1068" s="0" t="s">
        <v>111</v>
      </c>
      <c r="B1068" s="1" t="s">
        <v>14</v>
      </c>
      <c r="C1068" s="1" t="s">
        <v>60</v>
      </c>
      <c r="D1068" s="0" t="n">
        <v>5070</v>
      </c>
      <c r="E1068" s="0" t="n">
        <v>12570</v>
      </c>
      <c r="F1068" s="0" t="n">
        <f aca="false">D1068*E1068</f>
        <v>63729900</v>
      </c>
      <c r="G1068" s="0" t="n">
        <f aca="false">INDEX(마스터!$E:$E,MATCH(C1068,마스터!$A:$A,0))</f>
        <v>6980</v>
      </c>
      <c r="H1068" s="0" t="n">
        <f aca="false">D1068*G1068</f>
        <v>35388600</v>
      </c>
    </row>
    <row r="1069" customFormat="false" ht="15" hidden="false" customHeight="false" outlineLevel="0" collapsed="false">
      <c r="A1069" s="0" t="s">
        <v>111</v>
      </c>
      <c r="B1069" s="1" t="s">
        <v>14</v>
      </c>
      <c r="C1069" s="1" t="s">
        <v>46</v>
      </c>
      <c r="D1069" s="0" t="n">
        <v>5770</v>
      </c>
      <c r="E1069" s="0" t="n">
        <v>13210</v>
      </c>
      <c r="F1069" s="0" t="n">
        <f aca="false">D1069*E1069</f>
        <v>76221700</v>
      </c>
      <c r="G1069" s="0" t="n">
        <f aca="false">INDEX(마스터!$E:$E,MATCH(C1069,마스터!$A:$A,0))</f>
        <v>6910</v>
      </c>
      <c r="H1069" s="0" t="n">
        <f aca="false">D1069*G1069</f>
        <v>39870700</v>
      </c>
    </row>
    <row r="1070" customFormat="false" ht="15" hidden="false" customHeight="false" outlineLevel="0" collapsed="false">
      <c r="A1070" s="0" t="s">
        <v>111</v>
      </c>
      <c r="B1070" s="1" t="s">
        <v>14</v>
      </c>
      <c r="C1070" s="1" t="s">
        <v>34</v>
      </c>
      <c r="D1070" s="0" t="n">
        <v>4530</v>
      </c>
      <c r="E1070" s="0" t="n">
        <v>11920</v>
      </c>
      <c r="F1070" s="0" t="n">
        <f aca="false">D1070*E1070</f>
        <v>53997600</v>
      </c>
      <c r="G1070" s="0" t="n">
        <f aca="false">INDEX(마스터!$E:$E,MATCH(C1070,마스터!$A:$A,0))</f>
        <v>6630</v>
      </c>
      <c r="H1070" s="0" t="n">
        <f aca="false">D1070*G1070</f>
        <v>30033900</v>
      </c>
    </row>
    <row r="1071" customFormat="false" ht="15" hidden="false" customHeight="false" outlineLevel="0" collapsed="false">
      <c r="A1071" s="0" t="s">
        <v>111</v>
      </c>
      <c r="B1071" s="1" t="s">
        <v>14</v>
      </c>
      <c r="C1071" s="1" t="s">
        <v>48</v>
      </c>
      <c r="D1071" s="0" t="n">
        <v>4800</v>
      </c>
      <c r="E1071" s="0" t="n">
        <v>11920</v>
      </c>
      <c r="F1071" s="0" t="n">
        <f aca="false">D1071*E1071</f>
        <v>57216000</v>
      </c>
      <c r="G1071" s="0" t="n">
        <f aca="false">INDEX(마스터!$E:$E,MATCH(C1071,마스터!$A:$A,0))</f>
        <v>6440</v>
      </c>
      <c r="H1071" s="0" t="n">
        <f aca="false">D1071*G1071</f>
        <v>30912000</v>
      </c>
    </row>
    <row r="1072" customFormat="false" ht="15" hidden="false" customHeight="false" outlineLevel="0" collapsed="false">
      <c r="A1072" s="0" t="s">
        <v>111</v>
      </c>
      <c r="B1072" s="1" t="s">
        <v>14</v>
      </c>
      <c r="C1072" s="1" t="s">
        <v>42</v>
      </c>
      <c r="D1072" s="0" t="n">
        <v>8580</v>
      </c>
      <c r="E1072" s="0" t="n">
        <v>12250</v>
      </c>
      <c r="F1072" s="0" t="n">
        <f aca="false">D1072*E1072</f>
        <v>105105000</v>
      </c>
      <c r="G1072" s="0" t="n">
        <f aca="false">INDEX(마스터!$E:$E,MATCH(C1072,마스터!$A:$A,0))</f>
        <v>6730</v>
      </c>
      <c r="H1072" s="0" t="n">
        <f aca="false">D1072*G1072</f>
        <v>57743400</v>
      </c>
    </row>
    <row r="1073" customFormat="false" ht="15" hidden="false" customHeight="false" outlineLevel="0" collapsed="false">
      <c r="A1073" s="0" t="s">
        <v>111</v>
      </c>
      <c r="B1073" s="1" t="s">
        <v>15</v>
      </c>
      <c r="C1073" s="1" t="s">
        <v>45</v>
      </c>
      <c r="D1073" s="0" t="n">
        <v>2830</v>
      </c>
      <c r="E1073" s="0" t="n">
        <v>12020</v>
      </c>
      <c r="F1073" s="0" t="n">
        <f aca="false">D1073*E1073</f>
        <v>34016600</v>
      </c>
      <c r="G1073" s="0" t="n">
        <f aca="false">INDEX(마스터!$E:$E,MATCH(C1073,마스터!$A:$A,0))</f>
        <v>6110</v>
      </c>
      <c r="H1073" s="0" t="n">
        <f aca="false">D1073*G1073</f>
        <v>17291300</v>
      </c>
    </row>
    <row r="1074" customFormat="false" ht="15" hidden="false" customHeight="false" outlineLevel="0" collapsed="false">
      <c r="A1074" s="0" t="s">
        <v>111</v>
      </c>
      <c r="B1074" s="1" t="s">
        <v>15</v>
      </c>
      <c r="C1074" s="1" t="s">
        <v>60</v>
      </c>
      <c r="D1074" s="0" t="n">
        <v>5410</v>
      </c>
      <c r="E1074" s="0" t="n">
        <v>12670</v>
      </c>
      <c r="F1074" s="0" t="n">
        <f aca="false">D1074*E1074</f>
        <v>68544700</v>
      </c>
      <c r="G1074" s="0" t="n">
        <f aca="false">INDEX(마스터!$E:$E,MATCH(C1074,마스터!$A:$A,0))</f>
        <v>6980</v>
      </c>
      <c r="H1074" s="0" t="n">
        <f aca="false">D1074*G1074</f>
        <v>37761800</v>
      </c>
    </row>
    <row r="1075" customFormat="false" ht="15" hidden="false" customHeight="false" outlineLevel="0" collapsed="false">
      <c r="A1075" s="0" t="s">
        <v>111</v>
      </c>
      <c r="B1075" s="1" t="s">
        <v>15</v>
      </c>
      <c r="C1075" s="1" t="s">
        <v>64</v>
      </c>
      <c r="D1075" s="0" t="n">
        <v>3510</v>
      </c>
      <c r="E1075" s="0" t="n">
        <v>11690</v>
      </c>
      <c r="F1075" s="0" t="n">
        <f aca="false">D1075*E1075</f>
        <v>41031900</v>
      </c>
      <c r="G1075" s="0" t="n">
        <f aca="false">INDEX(마스터!$E:$E,MATCH(C1075,마스터!$A:$A,0))</f>
        <v>5890</v>
      </c>
      <c r="H1075" s="0" t="n">
        <f aca="false">D1075*G1075</f>
        <v>20673900</v>
      </c>
    </row>
    <row r="1076" customFormat="false" ht="15" hidden="false" customHeight="false" outlineLevel="0" collapsed="false">
      <c r="A1076" s="0" t="s">
        <v>111</v>
      </c>
      <c r="B1076" s="1" t="s">
        <v>15</v>
      </c>
      <c r="C1076" s="1" t="s">
        <v>42</v>
      </c>
      <c r="D1076" s="0" t="n">
        <v>10740</v>
      </c>
      <c r="E1076" s="0" t="n">
        <v>12340</v>
      </c>
      <c r="F1076" s="0" t="n">
        <f aca="false">D1076*E1076</f>
        <v>132531600</v>
      </c>
      <c r="G1076" s="0" t="n">
        <f aca="false">INDEX(마스터!$E:$E,MATCH(C1076,마스터!$A:$A,0))</f>
        <v>6730</v>
      </c>
      <c r="H1076" s="0" t="n">
        <f aca="false">D1076*G1076</f>
        <v>72280200</v>
      </c>
    </row>
    <row r="1077" customFormat="false" ht="15" hidden="false" customHeight="false" outlineLevel="0" collapsed="false">
      <c r="A1077" s="0" t="s">
        <v>111</v>
      </c>
      <c r="B1077" s="1" t="s">
        <v>15</v>
      </c>
      <c r="C1077" s="1" t="s">
        <v>56</v>
      </c>
      <c r="D1077" s="0" t="n">
        <v>4530</v>
      </c>
      <c r="E1077" s="0" t="n">
        <v>10070</v>
      </c>
      <c r="F1077" s="0" t="n">
        <f aca="false">D1077*E1077</f>
        <v>45617100</v>
      </c>
      <c r="G1077" s="0" t="n">
        <f aca="false">INDEX(마스터!$E:$E,MATCH(C1077,마스터!$A:$A,0))</f>
        <v>5470</v>
      </c>
      <c r="H1077" s="0" t="n">
        <f aca="false">D1077*G1077</f>
        <v>24779100</v>
      </c>
    </row>
    <row r="1078" customFormat="false" ht="15" hidden="false" customHeight="false" outlineLevel="0" collapsed="false">
      <c r="A1078" s="0" t="s">
        <v>111</v>
      </c>
      <c r="B1078" s="1" t="s">
        <v>15</v>
      </c>
      <c r="C1078" s="1" t="s">
        <v>52</v>
      </c>
      <c r="D1078" s="0" t="n">
        <v>3310</v>
      </c>
      <c r="E1078" s="0" t="n">
        <v>10390</v>
      </c>
      <c r="F1078" s="0" t="n">
        <f aca="false">D1078*E1078</f>
        <v>34390900</v>
      </c>
      <c r="G1078" s="0" t="n">
        <f aca="false">INDEX(마스터!$E:$E,MATCH(C1078,마스터!$A:$A,0))</f>
        <v>5110</v>
      </c>
      <c r="H1078" s="0" t="n">
        <f aca="false">D1078*G1078</f>
        <v>16914100</v>
      </c>
    </row>
    <row r="1079" customFormat="false" ht="15" hidden="false" customHeight="false" outlineLevel="0" collapsed="false">
      <c r="A1079" s="0" t="s">
        <v>111</v>
      </c>
      <c r="B1079" s="1" t="s">
        <v>15</v>
      </c>
      <c r="C1079" s="1" t="s">
        <v>71</v>
      </c>
      <c r="D1079" s="0" t="n">
        <v>4060</v>
      </c>
      <c r="E1079" s="0" t="n">
        <v>8440</v>
      </c>
      <c r="F1079" s="0" t="n">
        <f aca="false">D1079*E1079</f>
        <v>34266400</v>
      </c>
      <c r="G1079" s="0" t="n">
        <f aca="false">INDEX(마스터!$E:$E,MATCH(C1079,마스터!$A:$A,0))</f>
        <v>4330</v>
      </c>
      <c r="H1079" s="0" t="n">
        <f aca="false">D1079*G1079</f>
        <v>17579800</v>
      </c>
    </row>
    <row r="1080" customFormat="false" ht="15" hidden="false" customHeight="false" outlineLevel="0" collapsed="false">
      <c r="A1080" s="0" t="s">
        <v>111</v>
      </c>
      <c r="B1080" s="1" t="s">
        <v>16</v>
      </c>
      <c r="C1080" s="1" t="s">
        <v>45</v>
      </c>
      <c r="D1080" s="0" t="n">
        <v>3280</v>
      </c>
      <c r="E1080" s="0" t="n">
        <v>12820</v>
      </c>
      <c r="F1080" s="0" t="n">
        <f aca="false">D1080*E1080</f>
        <v>42049600</v>
      </c>
      <c r="G1080" s="0" t="n">
        <f aca="false">INDEX(마스터!$E:$E,MATCH(C1080,마스터!$A:$A,0))</f>
        <v>6110</v>
      </c>
      <c r="H1080" s="0" t="n">
        <f aca="false">D1080*G1080</f>
        <v>20040800</v>
      </c>
    </row>
    <row r="1081" customFormat="false" ht="15" hidden="false" customHeight="false" outlineLevel="0" collapsed="false">
      <c r="A1081" s="0" t="s">
        <v>111</v>
      </c>
      <c r="B1081" s="1" t="s">
        <v>16</v>
      </c>
      <c r="C1081" s="1" t="s">
        <v>54</v>
      </c>
      <c r="D1081" s="0" t="n">
        <v>3090</v>
      </c>
      <c r="E1081" s="0" t="n">
        <v>13170</v>
      </c>
      <c r="F1081" s="0" t="n">
        <f aca="false">D1081*E1081</f>
        <v>40695300</v>
      </c>
      <c r="G1081" s="0" t="n">
        <f aca="false">INDEX(마스터!$E:$E,MATCH(C1081,마스터!$A:$A,0))</f>
        <v>6790</v>
      </c>
      <c r="H1081" s="0" t="n">
        <f aca="false">D1081*G1081</f>
        <v>20981100</v>
      </c>
    </row>
    <row r="1082" customFormat="false" ht="15" hidden="false" customHeight="false" outlineLevel="0" collapsed="false">
      <c r="A1082" s="0" t="s">
        <v>111</v>
      </c>
      <c r="B1082" s="1" t="s">
        <v>16</v>
      </c>
      <c r="C1082" s="1" t="s">
        <v>34</v>
      </c>
      <c r="D1082" s="0" t="n">
        <v>5110</v>
      </c>
      <c r="E1082" s="0" t="n">
        <v>12820</v>
      </c>
      <c r="F1082" s="0" t="n">
        <f aca="false">D1082*E1082</f>
        <v>65510200</v>
      </c>
      <c r="G1082" s="0" t="n">
        <f aca="false">INDEX(마스터!$E:$E,MATCH(C1082,마스터!$A:$A,0))</f>
        <v>6630</v>
      </c>
      <c r="H1082" s="0" t="n">
        <f aca="false">D1082*G1082</f>
        <v>33879300</v>
      </c>
    </row>
    <row r="1083" customFormat="false" ht="15" hidden="false" customHeight="false" outlineLevel="0" collapsed="false">
      <c r="A1083" s="0" t="s">
        <v>111</v>
      </c>
      <c r="B1083" s="1" t="s">
        <v>16</v>
      </c>
      <c r="C1083" s="1" t="s">
        <v>42</v>
      </c>
      <c r="D1083" s="0" t="n">
        <v>4450</v>
      </c>
      <c r="E1083" s="0" t="n">
        <v>13170</v>
      </c>
      <c r="F1083" s="0" t="n">
        <f aca="false">D1083*E1083</f>
        <v>58606500</v>
      </c>
      <c r="G1083" s="0" t="n">
        <f aca="false">INDEX(마스터!$E:$E,MATCH(C1083,마스터!$A:$A,0))</f>
        <v>6730</v>
      </c>
      <c r="H1083" s="0" t="n">
        <f aca="false">D1083*G1083</f>
        <v>29948500</v>
      </c>
    </row>
    <row r="1084" customFormat="false" ht="15" hidden="false" customHeight="false" outlineLevel="0" collapsed="false">
      <c r="A1084" s="0" t="s">
        <v>111</v>
      </c>
      <c r="B1084" s="1" t="s">
        <v>16</v>
      </c>
      <c r="C1084" s="1" t="s">
        <v>55</v>
      </c>
      <c r="D1084" s="0" t="n">
        <v>5030</v>
      </c>
      <c r="E1084" s="0" t="n">
        <v>12820</v>
      </c>
      <c r="F1084" s="0" t="n">
        <f aca="false">D1084*E1084</f>
        <v>64484600</v>
      </c>
      <c r="G1084" s="0" t="n">
        <f aca="false">INDEX(마스터!$E:$E,MATCH(C1084,마스터!$A:$A,0))</f>
        <v>6040</v>
      </c>
      <c r="H1084" s="0" t="n">
        <f aca="false">D1084*G1084</f>
        <v>30381200</v>
      </c>
    </row>
    <row r="1085" customFormat="false" ht="15" hidden="false" customHeight="false" outlineLevel="0" collapsed="false">
      <c r="A1085" s="0" t="s">
        <v>111</v>
      </c>
      <c r="B1085" s="1" t="s">
        <v>16</v>
      </c>
      <c r="C1085" s="1" t="s">
        <v>47</v>
      </c>
      <c r="D1085" s="0" t="n">
        <v>4210</v>
      </c>
      <c r="E1085" s="0" t="n">
        <v>9010</v>
      </c>
      <c r="F1085" s="0" t="n">
        <f aca="false">D1085*E1085</f>
        <v>37932100</v>
      </c>
      <c r="G1085" s="0" t="n">
        <f aca="false">INDEX(마스터!$E:$E,MATCH(C1085,마스터!$A:$A,0))</f>
        <v>4170</v>
      </c>
      <c r="H1085" s="0" t="n">
        <f aca="false">D1085*G1085</f>
        <v>17555700</v>
      </c>
    </row>
    <row r="1086" customFormat="false" ht="15" hidden="false" customHeight="false" outlineLevel="0" collapsed="false">
      <c r="A1086" s="0" t="s">
        <v>111</v>
      </c>
      <c r="B1086" s="1" t="s">
        <v>17</v>
      </c>
      <c r="C1086" s="1" t="s">
        <v>45</v>
      </c>
      <c r="D1086" s="0" t="n">
        <v>2040</v>
      </c>
      <c r="E1086" s="0" t="n">
        <v>11930</v>
      </c>
      <c r="F1086" s="0" t="n">
        <f aca="false">D1086*E1086</f>
        <v>24337200</v>
      </c>
      <c r="G1086" s="0" t="n">
        <f aca="false">INDEX(마스터!$E:$E,MATCH(C1086,마스터!$A:$A,0))</f>
        <v>6110</v>
      </c>
      <c r="H1086" s="0" t="n">
        <f aca="false">D1086*G1086</f>
        <v>12464400</v>
      </c>
    </row>
    <row r="1087" customFormat="false" ht="15" hidden="false" customHeight="false" outlineLevel="0" collapsed="false">
      <c r="A1087" s="0" t="s">
        <v>111</v>
      </c>
      <c r="B1087" s="1" t="s">
        <v>17</v>
      </c>
      <c r="C1087" s="1" t="s">
        <v>46</v>
      </c>
      <c r="D1087" s="0" t="n">
        <v>3730</v>
      </c>
      <c r="E1087" s="0" t="n">
        <v>13220</v>
      </c>
      <c r="F1087" s="0" t="n">
        <f aca="false">D1087*E1087</f>
        <v>49310600</v>
      </c>
      <c r="G1087" s="0" t="n">
        <f aca="false">INDEX(마스터!$E:$E,MATCH(C1087,마스터!$A:$A,0))</f>
        <v>6910</v>
      </c>
      <c r="H1087" s="0" t="n">
        <f aca="false">D1087*G1087</f>
        <v>25774300</v>
      </c>
    </row>
    <row r="1088" customFormat="false" ht="15" hidden="false" customHeight="false" outlineLevel="0" collapsed="false">
      <c r="A1088" s="0" t="s">
        <v>111</v>
      </c>
      <c r="B1088" s="1" t="s">
        <v>17</v>
      </c>
      <c r="C1088" s="1" t="s">
        <v>42</v>
      </c>
      <c r="D1088" s="0" t="n">
        <v>4130</v>
      </c>
      <c r="E1088" s="0" t="n">
        <v>12250</v>
      </c>
      <c r="F1088" s="0" t="n">
        <f aca="false">D1088*E1088</f>
        <v>50592500</v>
      </c>
      <c r="G1088" s="0" t="n">
        <f aca="false">INDEX(마스터!$E:$E,MATCH(C1088,마스터!$A:$A,0))</f>
        <v>6730</v>
      </c>
      <c r="H1088" s="0" t="n">
        <f aca="false">D1088*G1088</f>
        <v>27794900</v>
      </c>
    </row>
    <row r="1089" customFormat="false" ht="15" hidden="false" customHeight="false" outlineLevel="0" collapsed="false">
      <c r="A1089" s="0" t="s">
        <v>111</v>
      </c>
      <c r="B1089" s="1" t="s">
        <v>17</v>
      </c>
      <c r="C1089" s="1" t="s">
        <v>55</v>
      </c>
      <c r="D1089" s="0" t="n">
        <v>3710</v>
      </c>
      <c r="E1089" s="0" t="n">
        <v>11930</v>
      </c>
      <c r="F1089" s="0" t="n">
        <f aca="false">D1089*E1089</f>
        <v>44260300</v>
      </c>
      <c r="G1089" s="0" t="n">
        <f aca="false">INDEX(마스터!$E:$E,MATCH(C1089,마스터!$A:$A,0))</f>
        <v>6040</v>
      </c>
      <c r="H1089" s="0" t="n">
        <f aca="false">D1089*G1089</f>
        <v>22408400</v>
      </c>
    </row>
    <row r="1090" customFormat="false" ht="15" hidden="false" customHeight="false" outlineLevel="0" collapsed="false">
      <c r="A1090" s="0" t="s">
        <v>111</v>
      </c>
      <c r="B1090" s="1" t="s">
        <v>17</v>
      </c>
      <c r="C1090" s="1" t="s">
        <v>56</v>
      </c>
      <c r="D1090" s="0" t="n">
        <v>2080</v>
      </c>
      <c r="E1090" s="0" t="n">
        <v>9990</v>
      </c>
      <c r="F1090" s="0" t="n">
        <f aca="false">D1090*E1090</f>
        <v>20779200</v>
      </c>
      <c r="G1090" s="0" t="n">
        <f aca="false">INDEX(마스터!$E:$E,MATCH(C1090,마스터!$A:$A,0))</f>
        <v>5470</v>
      </c>
      <c r="H1090" s="0" t="n">
        <f aca="false">D1090*G1090</f>
        <v>11377600</v>
      </c>
    </row>
    <row r="1091" customFormat="false" ht="15" hidden="false" customHeight="false" outlineLevel="0" collapsed="false">
      <c r="A1091" s="0" t="s">
        <v>111</v>
      </c>
      <c r="B1091" s="1" t="s">
        <v>17</v>
      </c>
      <c r="C1091" s="1" t="s">
        <v>66</v>
      </c>
      <c r="D1091" s="0" t="n">
        <v>2480</v>
      </c>
      <c r="E1091" s="0" t="n">
        <v>11930</v>
      </c>
      <c r="F1091" s="0" t="n">
        <f aca="false">D1091*E1091</f>
        <v>29586400</v>
      </c>
      <c r="G1091" s="0" t="n">
        <f aca="false">INDEX(마스터!$E:$E,MATCH(C1091,마스터!$A:$A,0))</f>
        <v>6360</v>
      </c>
      <c r="H1091" s="0" t="n">
        <f aca="false">D1091*G1091</f>
        <v>15772800</v>
      </c>
    </row>
    <row r="1092" customFormat="false" ht="15" hidden="false" customHeight="false" outlineLevel="0" collapsed="false">
      <c r="A1092" s="0" t="s">
        <v>111</v>
      </c>
      <c r="B1092" s="1" t="s">
        <v>17</v>
      </c>
      <c r="C1092" s="1" t="s">
        <v>90</v>
      </c>
      <c r="D1092" s="0" t="n">
        <v>2600</v>
      </c>
      <c r="E1092" s="0" t="n">
        <v>10640</v>
      </c>
      <c r="F1092" s="0" t="n">
        <f aca="false">D1092*E1092</f>
        <v>27664000</v>
      </c>
      <c r="G1092" s="0" t="n">
        <f aca="false">INDEX(마스터!$E:$E,MATCH(C1092,마스터!$A:$A,0))</f>
        <v>5290</v>
      </c>
      <c r="H1092" s="0" t="n">
        <f aca="false">D1092*G1092</f>
        <v>13754000</v>
      </c>
    </row>
    <row r="1093" customFormat="false" ht="15" hidden="false" customHeight="false" outlineLevel="0" collapsed="false">
      <c r="A1093" s="0" t="s">
        <v>111</v>
      </c>
      <c r="B1093" s="1" t="s">
        <v>18</v>
      </c>
      <c r="C1093" s="1" t="s">
        <v>82</v>
      </c>
      <c r="D1093" s="0" t="n">
        <v>3700</v>
      </c>
      <c r="E1093" s="0" t="n">
        <v>11030</v>
      </c>
      <c r="F1093" s="0" t="n">
        <f aca="false">D1093*E1093</f>
        <v>40811000</v>
      </c>
      <c r="G1093" s="0" t="n">
        <f aca="false">INDEX(마스터!$E:$E,MATCH(C1093,마스터!$A:$A,0))</f>
        <v>5660</v>
      </c>
      <c r="H1093" s="0" t="n">
        <f aca="false">D1093*G1093</f>
        <v>20942000</v>
      </c>
    </row>
    <row r="1094" customFormat="false" ht="15" hidden="false" customHeight="false" outlineLevel="0" collapsed="false">
      <c r="A1094" s="0" t="s">
        <v>111</v>
      </c>
      <c r="B1094" s="1" t="s">
        <v>18</v>
      </c>
      <c r="C1094" s="1" t="s">
        <v>45</v>
      </c>
      <c r="D1094" s="0" t="n">
        <v>2930</v>
      </c>
      <c r="E1094" s="0" t="n">
        <v>12750</v>
      </c>
      <c r="F1094" s="0" t="n">
        <f aca="false">D1094*E1094</f>
        <v>37357500</v>
      </c>
      <c r="G1094" s="0" t="n">
        <f aca="false">INDEX(마스터!$E:$E,MATCH(C1094,마스터!$A:$A,0))</f>
        <v>6110</v>
      </c>
      <c r="H1094" s="0" t="n">
        <f aca="false">D1094*G1094</f>
        <v>17902300</v>
      </c>
    </row>
    <row r="1095" customFormat="false" ht="15" hidden="false" customHeight="false" outlineLevel="0" collapsed="false">
      <c r="A1095" s="0" t="s">
        <v>111</v>
      </c>
      <c r="B1095" s="1" t="s">
        <v>18</v>
      </c>
      <c r="C1095" s="1" t="s">
        <v>60</v>
      </c>
      <c r="D1095" s="0" t="n">
        <v>3770</v>
      </c>
      <c r="E1095" s="0" t="n">
        <v>13440</v>
      </c>
      <c r="F1095" s="0" t="n">
        <f aca="false">D1095*E1095</f>
        <v>50668800</v>
      </c>
      <c r="G1095" s="0" t="n">
        <f aca="false">INDEX(마스터!$E:$E,MATCH(C1095,마스터!$A:$A,0))</f>
        <v>6980</v>
      </c>
      <c r="H1095" s="0" t="n">
        <f aca="false">D1095*G1095</f>
        <v>26314600</v>
      </c>
    </row>
    <row r="1096" customFormat="false" ht="15" hidden="false" customHeight="false" outlineLevel="0" collapsed="false">
      <c r="A1096" s="0" t="s">
        <v>111</v>
      </c>
      <c r="B1096" s="1" t="s">
        <v>18</v>
      </c>
      <c r="C1096" s="1" t="s">
        <v>46</v>
      </c>
      <c r="D1096" s="0" t="n">
        <v>5760</v>
      </c>
      <c r="E1096" s="0" t="n">
        <v>14130</v>
      </c>
      <c r="F1096" s="0" t="n">
        <f aca="false">D1096*E1096</f>
        <v>81388800</v>
      </c>
      <c r="G1096" s="0" t="n">
        <f aca="false">INDEX(마스터!$E:$E,MATCH(C1096,마스터!$A:$A,0))</f>
        <v>6910</v>
      </c>
      <c r="H1096" s="0" t="n">
        <f aca="false">D1096*G1096</f>
        <v>39801600</v>
      </c>
    </row>
    <row r="1097" customFormat="false" ht="15" hidden="false" customHeight="false" outlineLevel="0" collapsed="false">
      <c r="A1097" s="0" t="s">
        <v>111</v>
      </c>
      <c r="B1097" s="1" t="s">
        <v>19</v>
      </c>
      <c r="C1097" s="1" t="s">
        <v>38</v>
      </c>
      <c r="D1097" s="0" t="n">
        <v>3840</v>
      </c>
      <c r="E1097" s="0" t="n">
        <v>11360</v>
      </c>
      <c r="F1097" s="0" t="n">
        <f aca="false">D1097*E1097</f>
        <v>43622400</v>
      </c>
      <c r="G1097" s="0" t="n">
        <f aca="false">INDEX(마스터!$E:$E,MATCH(C1097,마스터!$A:$A,0))</f>
        <v>5670</v>
      </c>
      <c r="H1097" s="0" t="n">
        <f aca="false">D1097*G1097</f>
        <v>21772800</v>
      </c>
    </row>
    <row r="1098" customFormat="false" ht="15" hidden="false" customHeight="false" outlineLevel="0" collapsed="false">
      <c r="A1098" s="0" t="s">
        <v>111</v>
      </c>
      <c r="B1098" s="1" t="s">
        <v>19</v>
      </c>
      <c r="C1098" s="1" t="s">
        <v>50</v>
      </c>
      <c r="D1098" s="0" t="n">
        <v>1920</v>
      </c>
      <c r="E1098" s="0" t="n">
        <v>12980</v>
      </c>
      <c r="F1098" s="0" t="n">
        <f aca="false">D1098*E1098</f>
        <v>24921600</v>
      </c>
      <c r="G1098" s="0" t="n">
        <f aca="false">INDEX(마스터!$E:$E,MATCH(C1098,마스터!$A:$A,0))</f>
        <v>6770</v>
      </c>
      <c r="H1098" s="0" t="n">
        <f aca="false">D1098*G1098</f>
        <v>12998400</v>
      </c>
    </row>
    <row r="1099" customFormat="false" ht="15" hidden="false" customHeight="false" outlineLevel="0" collapsed="false">
      <c r="A1099" s="0" t="s">
        <v>111</v>
      </c>
      <c r="B1099" s="1" t="s">
        <v>19</v>
      </c>
      <c r="C1099" s="1" t="s">
        <v>59</v>
      </c>
      <c r="D1099" s="0" t="n">
        <v>3540</v>
      </c>
      <c r="E1099" s="0" t="n">
        <v>12980</v>
      </c>
      <c r="F1099" s="0" t="n">
        <f aca="false">D1099*E1099</f>
        <v>45949200</v>
      </c>
      <c r="G1099" s="0" t="n">
        <f aca="false">INDEX(마스터!$E:$E,MATCH(C1099,마스터!$A:$A,0))</f>
        <v>6520</v>
      </c>
      <c r="H1099" s="0" t="n">
        <f aca="false">D1099*G1099</f>
        <v>23080800</v>
      </c>
    </row>
    <row r="1100" customFormat="false" ht="15" hidden="false" customHeight="false" outlineLevel="0" collapsed="false">
      <c r="A1100" s="0" t="s">
        <v>111</v>
      </c>
      <c r="B1100" s="1" t="s">
        <v>19</v>
      </c>
      <c r="C1100" s="1" t="s">
        <v>100</v>
      </c>
      <c r="D1100" s="0" t="n">
        <v>2740</v>
      </c>
      <c r="E1100" s="0" t="n">
        <v>10710</v>
      </c>
      <c r="F1100" s="0" t="n">
        <f aca="false">D1100*E1100</f>
        <v>29345400</v>
      </c>
      <c r="G1100" s="0" t="n">
        <f aca="false">INDEX(마스터!$E:$E,MATCH(C1100,마스터!$A:$A,0))</f>
        <v>5720</v>
      </c>
      <c r="H1100" s="0" t="n">
        <f aca="false">D1100*G1100</f>
        <v>15672800</v>
      </c>
    </row>
    <row r="1101" customFormat="false" ht="15" hidden="false" customHeight="false" outlineLevel="0" collapsed="false">
      <c r="A1101" s="0" t="s">
        <v>111</v>
      </c>
      <c r="B1101" s="1" t="s">
        <v>19</v>
      </c>
      <c r="C1101" s="1" t="s">
        <v>76</v>
      </c>
      <c r="D1101" s="0" t="n">
        <v>3320</v>
      </c>
      <c r="E1101" s="0" t="n">
        <v>8760</v>
      </c>
      <c r="F1101" s="0" t="n">
        <f aca="false">D1101*E1101</f>
        <v>29083200</v>
      </c>
      <c r="G1101" s="0" t="n">
        <f aca="false">INDEX(마스터!$E:$E,MATCH(C1101,마스터!$A:$A,0))</f>
        <v>4150</v>
      </c>
      <c r="H1101" s="0" t="n">
        <f aca="false">D1101*G1101</f>
        <v>13778000</v>
      </c>
    </row>
    <row r="1102" customFormat="false" ht="15" hidden="false" customHeight="false" outlineLevel="0" collapsed="false">
      <c r="A1102" s="0" t="s">
        <v>111</v>
      </c>
      <c r="B1102" s="1" t="s">
        <v>20</v>
      </c>
      <c r="C1102" s="1" t="s">
        <v>61</v>
      </c>
      <c r="D1102" s="0" t="n">
        <v>2260</v>
      </c>
      <c r="E1102" s="0" t="n">
        <v>10780</v>
      </c>
      <c r="F1102" s="0" t="n">
        <f aca="false">D1102*E1102</f>
        <v>24362800</v>
      </c>
      <c r="G1102" s="0" t="n">
        <f aca="false">INDEX(마스터!$E:$E,MATCH(C1102,마스터!$A:$A,0))</f>
        <v>5390</v>
      </c>
      <c r="H1102" s="0" t="n">
        <f aca="false">D1102*G1102</f>
        <v>12181400</v>
      </c>
    </row>
    <row r="1103" customFormat="false" ht="15" hidden="false" customHeight="false" outlineLevel="0" collapsed="false">
      <c r="A1103" s="0" t="s">
        <v>111</v>
      </c>
      <c r="B1103" s="1" t="s">
        <v>20</v>
      </c>
      <c r="C1103" s="1" t="s">
        <v>42</v>
      </c>
      <c r="D1103" s="0" t="n">
        <v>4070</v>
      </c>
      <c r="E1103" s="0" t="n">
        <v>13220</v>
      </c>
      <c r="F1103" s="0" t="n">
        <f aca="false">D1103*E1103</f>
        <v>53805400</v>
      </c>
      <c r="G1103" s="0" t="n">
        <f aca="false">INDEX(마스터!$E:$E,MATCH(C1103,마스터!$A:$A,0))</f>
        <v>6730</v>
      </c>
      <c r="H1103" s="0" t="n">
        <f aca="false">D1103*G1103</f>
        <v>27391100</v>
      </c>
    </row>
    <row r="1104" customFormat="false" ht="15" hidden="false" customHeight="false" outlineLevel="0" collapsed="false">
      <c r="A1104" s="0" t="s">
        <v>111</v>
      </c>
      <c r="B1104" s="1" t="s">
        <v>20</v>
      </c>
      <c r="C1104" s="1" t="s">
        <v>55</v>
      </c>
      <c r="D1104" s="0" t="n">
        <v>2960</v>
      </c>
      <c r="E1104" s="0" t="n">
        <v>12870</v>
      </c>
      <c r="F1104" s="0" t="n">
        <f aca="false">D1104*E1104</f>
        <v>38095200</v>
      </c>
      <c r="G1104" s="0" t="n">
        <f aca="false">INDEX(마스터!$E:$E,MATCH(C1104,마스터!$A:$A,0))</f>
        <v>6040</v>
      </c>
      <c r="H1104" s="0" t="n">
        <f aca="false">D1104*G1104</f>
        <v>17878400</v>
      </c>
    </row>
    <row r="1105" customFormat="false" ht="15" hidden="false" customHeight="false" outlineLevel="0" collapsed="false">
      <c r="A1105" s="0" t="s">
        <v>111</v>
      </c>
      <c r="B1105" s="1" t="s">
        <v>20</v>
      </c>
      <c r="C1105" s="1" t="s">
        <v>40</v>
      </c>
      <c r="D1105" s="0" t="n">
        <v>2270</v>
      </c>
      <c r="E1105" s="0" t="n">
        <v>9740</v>
      </c>
      <c r="F1105" s="0" t="n">
        <f aca="false">D1105*E1105</f>
        <v>22109800</v>
      </c>
      <c r="G1105" s="0" t="n">
        <f aca="false">INDEX(마스터!$E:$E,MATCH(C1105,마스터!$A:$A,0))</f>
        <v>4740</v>
      </c>
      <c r="H1105" s="0" t="n">
        <f aca="false">D1105*G1105</f>
        <v>10759800</v>
      </c>
    </row>
    <row r="1106" customFormat="false" ht="15" hidden="false" customHeight="false" outlineLevel="0" collapsed="false">
      <c r="A1106" s="0" t="s">
        <v>111</v>
      </c>
      <c r="B1106" s="1" t="s">
        <v>21</v>
      </c>
      <c r="C1106" s="1" t="s">
        <v>82</v>
      </c>
      <c r="D1106" s="0" t="n">
        <v>2980</v>
      </c>
      <c r="E1106" s="0" t="n">
        <v>11180</v>
      </c>
      <c r="F1106" s="0" t="n">
        <f aca="false">D1106*E1106</f>
        <v>33316400</v>
      </c>
      <c r="G1106" s="0" t="n">
        <f aca="false">INDEX(마스터!$E:$E,MATCH(C1106,마스터!$A:$A,0))</f>
        <v>5660</v>
      </c>
      <c r="H1106" s="0" t="n">
        <f aca="false">D1106*G1106</f>
        <v>16866800</v>
      </c>
    </row>
    <row r="1107" customFormat="false" ht="15" hidden="false" customHeight="false" outlineLevel="0" collapsed="false">
      <c r="A1107" s="0" t="s">
        <v>111</v>
      </c>
      <c r="B1107" s="1" t="s">
        <v>21</v>
      </c>
      <c r="C1107" s="1" t="s">
        <v>37</v>
      </c>
      <c r="D1107" s="0" t="n">
        <v>4540</v>
      </c>
      <c r="E1107" s="0" t="n">
        <v>10480</v>
      </c>
      <c r="F1107" s="0" t="n">
        <f aca="false">D1107*E1107</f>
        <v>47579200</v>
      </c>
      <c r="G1107" s="0" t="n">
        <f aca="false">INDEX(마스터!$E:$E,MATCH(C1107,마스터!$A:$A,0))</f>
        <v>4900</v>
      </c>
      <c r="H1107" s="0" t="n">
        <f aca="false">D1107*G1107</f>
        <v>22246000</v>
      </c>
    </row>
    <row r="1108" customFormat="false" ht="15" hidden="false" customHeight="false" outlineLevel="0" collapsed="false">
      <c r="A1108" s="0" t="s">
        <v>111</v>
      </c>
      <c r="B1108" s="1" t="s">
        <v>21</v>
      </c>
      <c r="C1108" s="1" t="s">
        <v>67</v>
      </c>
      <c r="D1108" s="0" t="n">
        <v>2910</v>
      </c>
      <c r="E1108" s="0" t="n">
        <v>9780</v>
      </c>
      <c r="F1108" s="0" t="n">
        <f aca="false">D1108*E1108</f>
        <v>28459800</v>
      </c>
      <c r="G1108" s="0" t="n">
        <f aca="false">INDEX(마스터!$E:$E,MATCH(C1108,마스터!$A:$A,0))</f>
        <v>4360</v>
      </c>
      <c r="H1108" s="0" t="n">
        <f aca="false">D1108*G1108</f>
        <v>12687600</v>
      </c>
    </row>
    <row r="1109" customFormat="false" ht="15" hidden="false" customHeight="false" outlineLevel="0" collapsed="false">
      <c r="A1109" s="0" t="s">
        <v>111</v>
      </c>
      <c r="B1109" s="1" t="s">
        <v>22</v>
      </c>
      <c r="C1109" s="1" t="s">
        <v>82</v>
      </c>
      <c r="D1109" s="0" t="n">
        <v>4130</v>
      </c>
      <c r="E1109" s="0" t="n">
        <v>11230</v>
      </c>
      <c r="F1109" s="0" t="n">
        <f aca="false">D1109*E1109</f>
        <v>46379900</v>
      </c>
      <c r="G1109" s="0" t="n">
        <f aca="false">INDEX(마스터!$E:$E,MATCH(C1109,마스터!$A:$A,0))</f>
        <v>5660</v>
      </c>
      <c r="H1109" s="0" t="n">
        <f aca="false">D1109*G1109</f>
        <v>23375800</v>
      </c>
    </row>
    <row r="1110" customFormat="false" ht="15" hidden="false" customHeight="false" outlineLevel="0" collapsed="false">
      <c r="A1110" s="0" t="s">
        <v>111</v>
      </c>
      <c r="B1110" s="1" t="s">
        <v>22</v>
      </c>
      <c r="C1110" s="1" t="s">
        <v>65</v>
      </c>
      <c r="D1110" s="0" t="n">
        <v>4530</v>
      </c>
      <c r="E1110" s="0" t="n">
        <v>14390</v>
      </c>
      <c r="F1110" s="0" t="n">
        <f aca="false">D1110*E1110</f>
        <v>65186700</v>
      </c>
      <c r="G1110" s="0" t="n">
        <f aca="false">INDEX(마스터!$E:$E,MATCH(C1110,마스터!$A:$A,0))</f>
        <v>6670</v>
      </c>
      <c r="H1110" s="0" t="n">
        <f aca="false">D1110*G1110</f>
        <v>30215100</v>
      </c>
    </row>
    <row r="1111" customFormat="false" ht="15" hidden="false" customHeight="false" outlineLevel="0" collapsed="false">
      <c r="A1111" s="0" t="s">
        <v>111</v>
      </c>
      <c r="B1111" s="1" t="s">
        <v>23</v>
      </c>
      <c r="C1111" s="1" t="s">
        <v>65</v>
      </c>
      <c r="D1111" s="0" t="n">
        <v>2750</v>
      </c>
      <c r="E1111" s="0" t="n">
        <v>14310</v>
      </c>
      <c r="F1111" s="0" t="n">
        <f aca="false">D1111*E1111</f>
        <v>39352500</v>
      </c>
      <c r="G1111" s="0" t="n">
        <f aca="false">INDEX(마스터!$E:$E,MATCH(C1111,마스터!$A:$A,0))</f>
        <v>6670</v>
      </c>
      <c r="H1111" s="0" t="n">
        <f aca="false">D1111*G1111</f>
        <v>18342500</v>
      </c>
    </row>
    <row r="1112" customFormat="false" ht="15" hidden="false" customHeight="false" outlineLevel="0" collapsed="false">
      <c r="A1112" s="0" t="s">
        <v>111</v>
      </c>
      <c r="B1112" s="1" t="s">
        <v>23</v>
      </c>
      <c r="C1112" s="1" t="s">
        <v>66</v>
      </c>
      <c r="D1112" s="0" t="n">
        <v>4930</v>
      </c>
      <c r="E1112" s="0" t="n">
        <v>12910</v>
      </c>
      <c r="F1112" s="0" t="n">
        <f aca="false">D1112*E1112</f>
        <v>63646300</v>
      </c>
      <c r="G1112" s="0" t="n">
        <f aca="false">INDEX(마스터!$E:$E,MATCH(C1112,마스터!$A:$A,0))</f>
        <v>6360</v>
      </c>
      <c r="H1112" s="0" t="n">
        <f aca="false">D1112*G1112</f>
        <v>31354800</v>
      </c>
    </row>
    <row r="1113" customFormat="false" ht="15" hidden="false" customHeight="false" outlineLevel="0" collapsed="false">
      <c r="A1113" s="0" t="s">
        <v>111</v>
      </c>
      <c r="B1113" s="1" t="s">
        <v>25</v>
      </c>
      <c r="C1113" s="1" t="s">
        <v>61</v>
      </c>
      <c r="D1113" s="0" t="n">
        <v>3340</v>
      </c>
      <c r="E1113" s="0" t="n">
        <v>10850</v>
      </c>
      <c r="F1113" s="0" t="n">
        <f aca="false">D1113*E1113</f>
        <v>36239000</v>
      </c>
      <c r="G1113" s="0" t="n">
        <f aca="false">INDEX(마스터!$E:$E,MATCH(C1113,마스터!$A:$A,0))</f>
        <v>5390</v>
      </c>
      <c r="H1113" s="0" t="n">
        <f aca="false">D1113*G1113</f>
        <v>18002600</v>
      </c>
    </row>
    <row r="1114" customFormat="false" ht="15" hidden="false" customHeight="false" outlineLevel="0" collapsed="false">
      <c r="A1114" s="0" t="s">
        <v>111</v>
      </c>
      <c r="B1114" s="1" t="s">
        <v>25</v>
      </c>
      <c r="C1114" s="1" t="s">
        <v>77</v>
      </c>
      <c r="D1114" s="0" t="n">
        <v>2950</v>
      </c>
      <c r="E1114" s="0" t="n">
        <v>11900</v>
      </c>
      <c r="F1114" s="0" t="n">
        <f aca="false">D1114*E1114</f>
        <v>35105000</v>
      </c>
      <c r="G1114" s="0" t="n">
        <f aca="false">INDEX(마스터!$E:$E,MATCH(C1114,마스터!$A:$A,0))</f>
        <v>5380</v>
      </c>
      <c r="H1114" s="0" t="n">
        <f aca="false">D1114*G1114</f>
        <v>15871000</v>
      </c>
    </row>
    <row r="1115" customFormat="false" ht="15" hidden="false" customHeight="false" outlineLevel="0" collapsed="false">
      <c r="A1115" s="0" t="s">
        <v>111</v>
      </c>
      <c r="B1115" s="1" t="s">
        <v>24</v>
      </c>
      <c r="C1115" s="1" t="s">
        <v>42</v>
      </c>
      <c r="D1115" s="0" t="n">
        <v>3660</v>
      </c>
      <c r="E1115" s="0" t="n">
        <v>13320</v>
      </c>
      <c r="F1115" s="0" t="n">
        <f aca="false">D1115*E1115</f>
        <v>48751200</v>
      </c>
      <c r="G1115" s="0" t="n">
        <f aca="false">INDEX(마스터!$E:$E,MATCH(C1115,마스터!$A:$A,0))</f>
        <v>6730</v>
      </c>
      <c r="H1115" s="0" t="n">
        <f aca="false">D1115*G1115</f>
        <v>24631800</v>
      </c>
    </row>
    <row r="1116" customFormat="false" ht="15" hidden="false" customHeight="false" outlineLevel="0" collapsed="false">
      <c r="A1116" s="0" t="s">
        <v>111</v>
      </c>
      <c r="B1116" s="1" t="s">
        <v>24</v>
      </c>
      <c r="C1116" s="1" t="s">
        <v>47</v>
      </c>
      <c r="D1116" s="0" t="n">
        <v>2970</v>
      </c>
      <c r="E1116" s="0" t="n">
        <v>9120</v>
      </c>
      <c r="F1116" s="0" t="n">
        <f aca="false">D1116*E1116</f>
        <v>27086400</v>
      </c>
      <c r="G1116" s="0" t="n">
        <f aca="false">INDEX(마스터!$E:$E,MATCH(C1116,마스터!$A:$A,0))</f>
        <v>4170</v>
      </c>
      <c r="H1116" s="0" t="n">
        <f aca="false">D1116*G1116</f>
        <v>12384900</v>
      </c>
    </row>
    <row r="1117" customFormat="false" ht="15" hidden="false" customHeight="false" outlineLevel="0" collapsed="false">
      <c r="A1117" s="0" t="s">
        <v>113</v>
      </c>
      <c r="B1117" s="1" t="s">
        <v>14</v>
      </c>
      <c r="C1117" s="1" t="s">
        <v>45</v>
      </c>
      <c r="D1117" s="0" t="n">
        <v>6410</v>
      </c>
      <c r="E1117" s="0" t="n">
        <v>11910</v>
      </c>
      <c r="F1117" s="0" t="n">
        <f aca="false">D1117*E1117</f>
        <v>76343100</v>
      </c>
      <c r="G1117" s="0" t="n">
        <f aca="false">INDEX(마스터!$E:$E,MATCH(C1117,마스터!$A:$A,0))</f>
        <v>6110</v>
      </c>
      <c r="H1117" s="0" t="n">
        <f aca="false">D1117*G1117</f>
        <v>39165100</v>
      </c>
    </row>
    <row r="1118" customFormat="false" ht="15" hidden="false" customHeight="false" outlineLevel="0" collapsed="false">
      <c r="A1118" s="0" t="s">
        <v>113</v>
      </c>
      <c r="B1118" s="1" t="s">
        <v>14</v>
      </c>
      <c r="C1118" s="1" t="s">
        <v>32</v>
      </c>
      <c r="D1118" s="0" t="n">
        <v>3930</v>
      </c>
      <c r="E1118" s="0" t="n">
        <v>10940</v>
      </c>
      <c r="F1118" s="0" t="n">
        <f aca="false">D1118*E1118</f>
        <v>42994200</v>
      </c>
      <c r="G1118" s="0" t="n">
        <f aca="false">INDEX(마스터!$E:$E,MATCH(C1118,마스터!$A:$A,0))</f>
        <v>5790</v>
      </c>
      <c r="H1118" s="0" t="n">
        <f aca="false">D1118*G1118</f>
        <v>22754700</v>
      </c>
    </row>
    <row r="1119" customFormat="false" ht="15" hidden="false" customHeight="false" outlineLevel="0" collapsed="false">
      <c r="A1119" s="0" t="s">
        <v>113</v>
      </c>
      <c r="B1119" s="1" t="s">
        <v>14</v>
      </c>
      <c r="C1119" s="1" t="s">
        <v>60</v>
      </c>
      <c r="D1119" s="0" t="n">
        <v>7500</v>
      </c>
      <c r="E1119" s="0" t="n">
        <v>12550</v>
      </c>
      <c r="F1119" s="0" t="n">
        <f aca="false">D1119*E1119</f>
        <v>94125000</v>
      </c>
      <c r="G1119" s="0" t="n">
        <f aca="false">INDEX(마스터!$E:$E,MATCH(C1119,마스터!$A:$A,0))</f>
        <v>6980</v>
      </c>
      <c r="H1119" s="0" t="n">
        <f aca="false">D1119*G1119</f>
        <v>52350000</v>
      </c>
    </row>
    <row r="1120" customFormat="false" ht="15" hidden="false" customHeight="false" outlineLevel="0" collapsed="false">
      <c r="A1120" s="0" t="s">
        <v>113</v>
      </c>
      <c r="B1120" s="1" t="s">
        <v>14</v>
      </c>
      <c r="C1120" s="1" t="s">
        <v>46</v>
      </c>
      <c r="D1120" s="0" t="n">
        <v>6070</v>
      </c>
      <c r="E1120" s="0" t="n">
        <v>13200</v>
      </c>
      <c r="F1120" s="0" t="n">
        <f aca="false">D1120*E1120</f>
        <v>80124000</v>
      </c>
      <c r="G1120" s="0" t="n">
        <f aca="false">INDEX(마스터!$E:$E,MATCH(C1120,마스터!$A:$A,0))</f>
        <v>6910</v>
      </c>
      <c r="H1120" s="0" t="n">
        <f aca="false">D1120*G1120</f>
        <v>41943700</v>
      </c>
    </row>
    <row r="1121" customFormat="false" ht="15" hidden="false" customHeight="false" outlineLevel="0" collapsed="false">
      <c r="A1121" s="0" t="s">
        <v>113</v>
      </c>
      <c r="B1121" s="1" t="s">
        <v>14</v>
      </c>
      <c r="C1121" s="1" t="s">
        <v>48</v>
      </c>
      <c r="D1121" s="0" t="n">
        <v>6140</v>
      </c>
      <c r="E1121" s="0" t="n">
        <v>11910</v>
      </c>
      <c r="F1121" s="0" t="n">
        <f aca="false">D1121*E1121</f>
        <v>73127400</v>
      </c>
      <c r="G1121" s="0" t="n">
        <f aca="false">INDEX(마스터!$E:$E,MATCH(C1121,마스터!$A:$A,0))</f>
        <v>6440</v>
      </c>
      <c r="H1121" s="0" t="n">
        <f aca="false">D1121*G1121</f>
        <v>39541600</v>
      </c>
    </row>
    <row r="1122" customFormat="false" ht="15" hidden="false" customHeight="false" outlineLevel="0" collapsed="false">
      <c r="A1122" s="0" t="s">
        <v>113</v>
      </c>
      <c r="B1122" s="1" t="s">
        <v>14</v>
      </c>
      <c r="C1122" s="1" t="s">
        <v>42</v>
      </c>
      <c r="D1122" s="0" t="n">
        <v>12200</v>
      </c>
      <c r="E1122" s="0" t="n">
        <v>12230</v>
      </c>
      <c r="F1122" s="0" t="n">
        <f aca="false">D1122*E1122</f>
        <v>149206000</v>
      </c>
      <c r="G1122" s="0" t="n">
        <f aca="false">INDEX(마스터!$E:$E,MATCH(C1122,마스터!$A:$A,0))</f>
        <v>6730</v>
      </c>
      <c r="H1122" s="0" t="n">
        <f aca="false">D1122*G1122</f>
        <v>82106000</v>
      </c>
    </row>
    <row r="1123" customFormat="false" ht="15" hidden="false" customHeight="false" outlineLevel="0" collapsed="false">
      <c r="A1123" s="0" t="s">
        <v>113</v>
      </c>
      <c r="B1123" s="1" t="s">
        <v>14</v>
      </c>
      <c r="C1123" s="1" t="s">
        <v>51</v>
      </c>
      <c r="D1123" s="0" t="n">
        <v>6560</v>
      </c>
      <c r="E1123" s="0" t="n">
        <v>13200</v>
      </c>
      <c r="F1123" s="0" t="n">
        <f aca="false">D1123*E1123</f>
        <v>86592000</v>
      </c>
      <c r="G1123" s="0" t="n">
        <f aca="false">INDEX(마스터!$E:$E,MATCH(C1123,마스터!$A:$A,0))</f>
        <v>7480</v>
      </c>
      <c r="H1123" s="0" t="n">
        <f aca="false">D1123*G1123</f>
        <v>49068800</v>
      </c>
    </row>
    <row r="1124" customFormat="false" ht="15" hidden="false" customHeight="false" outlineLevel="0" collapsed="false">
      <c r="A1124" s="0" t="s">
        <v>113</v>
      </c>
      <c r="B1124" s="1" t="s">
        <v>15</v>
      </c>
      <c r="C1124" s="1" t="s">
        <v>45</v>
      </c>
      <c r="D1124" s="0" t="n">
        <v>5910</v>
      </c>
      <c r="E1124" s="0" t="n">
        <v>12030</v>
      </c>
      <c r="F1124" s="0" t="n">
        <f aca="false">D1124*E1124</f>
        <v>71097300</v>
      </c>
      <c r="G1124" s="0" t="n">
        <f aca="false">INDEX(마스터!$E:$E,MATCH(C1124,마스터!$A:$A,0))</f>
        <v>6110</v>
      </c>
      <c r="H1124" s="0" t="n">
        <f aca="false">D1124*G1124</f>
        <v>36110100</v>
      </c>
    </row>
    <row r="1125" customFormat="false" ht="15" hidden="false" customHeight="false" outlineLevel="0" collapsed="false">
      <c r="A1125" s="0" t="s">
        <v>113</v>
      </c>
      <c r="B1125" s="1" t="s">
        <v>15</v>
      </c>
      <c r="C1125" s="1" t="s">
        <v>38</v>
      </c>
      <c r="D1125" s="0" t="n">
        <v>6920</v>
      </c>
      <c r="E1125" s="0" t="n">
        <v>11380</v>
      </c>
      <c r="F1125" s="0" t="n">
        <f aca="false">D1125*E1125</f>
        <v>78749600</v>
      </c>
      <c r="G1125" s="0" t="n">
        <f aca="false">INDEX(마스터!$E:$E,MATCH(C1125,마스터!$A:$A,0))</f>
        <v>5670</v>
      </c>
      <c r="H1125" s="0" t="n">
        <f aca="false">D1125*G1125</f>
        <v>39236400</v>
      </c>
    </row>
    <row r="1126" customFormat="false" ht="15" hidden="false" customHeight="false" outlineLevel="0" collapsed="false">
      <c r="A1126" s="0" t="s">
        <v>113</v>
      </c>
      <c r="B1126" s="1" t="s">
        <v>15</v>
      </c>
      <c r="C1126" s="1" t="s">
        <v>41</v>
      </c>
      <c r="D1126" s="0" t="n">
        <v>5800</v>
      </c>
      <c r="E1126" s="0" t="n">
        <v>11060</v>
      </c>
      <c r="F1126" s="0" t="n">
        <f aca="false">D1126*E1126</f>
        <v>64148000</v>
      </c>
      <c r="G1126" s="0" t="n">
        <f aca="false">INDEX(마스터!$E:$E,MATCH(C1126,마스터!$A:$A,0))</f>
        <v>5480</v>
      </c>
      <c r="H1126" s="0" t="n">
        <f aca="false">D1126*G1126</f>
        <v>31784000</v>
      </c>
    </row>
    <row r="1127" customFormat="false" ht="15" hidden="false" customHeight="false" outlineLevel="0" collapsed="false">
      <c r="A1127" s="0" t="s">
        <v>113</v>
      </c>
      <c r="B1127" s="1" t="s">
        <v>15</v>
      </c>
      <c r="C1127" s="1" t="s">
        <v>65</v>
      </c>
      <c r="D1127" s="0" t="n">
        <v>4580</v>
      </c>
      <c r="E1127" s="0" t="n">
        <v>13340</v>
      </c>
      <c r="F1127" s="0" t="n">
        <f aca="false">D1127*E1127</f>
        <v>61097200</v>
      </c>
      <c r="G1127" s="0" t="n">
        <f aca="false">INDEX(마스터!$E:$E,MATCH(C1127,마스터!$A:$A,0))</f>
        <v>6670</v>
      </c>
      <c r="H1127" s="0" t="n">
        <f aca="false">D1127*G1127</f>
        <v>30548600</v>
      </c>
    </row>
    <row r="1128" customFormat="false" ht="15" hidden="false" customHeight="false" outlineLevel="0" collapsed="false">
      <c r="A1128" s="0" t="s">
        <v>113</v>
      </c>
      <c r="B1128" s="1" t="s">
        <v>15</v>
      </c>
      <c r="C1128" s="1" t="s">
        <v>48</v>
      </c>
      <c r="D1128" s="0" t="n">
        <v>6540</v>
      </c>
      <c r="E1128" s="0" t="n">
        <v>12030</v>
      </c>
      <c r="F1128" s="0" t="n">
        <f aca="false">D1128*E1128</f>
        <v>78676200</v>
      </c>
      <c r="G1128" s="0" t="n">
        <f aca="false">INDEX(마스터!$E:$E,MATCH(C1128,마스터!$A:$A,0))</f>
        <v>6440</v>
      </c>
      <c r="H1128" s="0" t="n">
        <f aca="false">D1128*G1128</f>
        <v>42117600</v>
      </c>
    </row>
    <row r="1129" customFormat="false" ht="15" hidden="false" customHeight="false" outlineLevel="0" collapsed="false">
      <c r="A1129" s="0" t="s">
        <v>113</v>
      </c>
      <c r="B1129" s="1" t="s">
        <v>15</v>
      </c>
      <c r="C1129" s="1" t="s">
        <v>42</v>
      </c>
      <c r="D1129" s="0" t="n">
        <v>13300</v>
      </c>
      <c r="E1129" s="0" t="n">
        <v>12360</v>
      </c>
      <c r="F1129" s="0" t="n">
        <f aca="false">D1129*E1129</f>
        <v>164388000</v>
      </c>
      <c r="G1129" s="0" t="n">
        <f aca="false">INDEX(마스터!$E:$E,MATCH(C1129,마스터!$A:$A,0))</f>
        <v>6730</v>
      </c>
      <c r="H1129" s="0" t="n">
        <f aca="false">D1129*G1129</f>
        <v>89509000</v>
      </c>
    </row>
    <row r="1130" customFormat="false" ht="15" hidden="false" customHeight="false" outlineLevel="0" collapsed="false">
      <c r="A1130" s="0" t="s">
        <v>113</v>
      </c>
      <c r="B1130" s="1" t="s">
        <v>15</v>
      </c>
      <c r="C1130" s="1" t="s">
        <v>39</v>
      </c>
      <c r="D1130" s="0" t="n">
        <v>4030</v>
      </c>
      <c r="E1130" s="0" t="n">
        <v>11060</v>
      </c>
      <c r="F1130" s="0" t="n">
        <f aca="false">D1130*E1130</f>
        <v>44571800</v>
      </c>
      <c r="G1130" s="0" t="n">
        <f aca="false">INDEX(마스터!$E:$E,MATCH(C1130,마스터!$A:$A,0))</f>
        <v>5660</v>
      </c>
      <c r="H1130" s="0" t="n">
        <f aca="false">D1130*G1130</f>
        <v>22809800</v>
      </c>
    </row>
    <row r="1131" customFormat="false" ht="15" hidden="false" customHeight="false" outlineLevel="0" collapsed="false">
      <c r="A1131" s="0" t="s">
        <v>113</v>
      </c>
      <c r="B1131" s="1" t="s">
        <v>16</v>
      </c>
      <c r="C1131" s="1" t="s">
        <v>37</v>
      </c>
      <c r="D1131" s="0" t="n">
        <v>6900</v>
      </c>
      <c r="E1131" s="0" t="n">
        <v>10370</v>
      </c>
      <c r="F1131" s="0" t="n">
        <f aca="false">D1131*E1131</f>
        <v>71553000</v>
      </c>
      <c r="G1131" s="0" t="n">
        <f aca="false">INDEX(마스터!$E:$E,MATCH(C1131,마스터!$A:$A,0))</f>
        <v>4900</v>
      </c>
      <c r="H1131" s="0" t="n">
        <f aca="false">D1131*G1131</f>
        <v>33810000</v>
      </c>
    </row>
    <row r="1132" customFormat="false" ht="15" hidden="false" customHeight="false" outlineLevel="0" collapsed="false">
      <c r="A1132" s="0" t="s">
        <v>113</v>
      </c>
      <c r="B1132" s="1" t="s">
        <v>16</v>
      </c>
      <c r="C1132" s="1" t="s">
        <v>45</v>
      </c>
      <c r="D1132" s="0" t="n">
        <v>4350</v>
      </c>
      <c r="E1132" s="0" t="n">
        <v>12780</v>
      </c>
      <c r="F1132" s="0" t="n">
        <f aca="false">D1132*E1132</f>
        <v>55593000</v>
      </c>
      <c r="G1132" s="0" t="n">
        <f aca="false">INDEX(마스터!$E:$E,MATCH(C1132,마스터!$A:$A,0))</f>
        <v>6110</v>
      </c>
      <c r="H1132" s="0" t="n">
        <f aca="false">D1132*G1132</f>
        <v>26578500</v>
      </c>
    </row>
    <row r="1133" customFormat="false" ht="15" hidden="false" customHeight="false" outlineLevel="0" collapsed="false">
      <c r="A1133" s="0" t="s">
        <v>113</v>
      </c>
      <c r="B1133" s="1" t="s">
        <v>16</v>
      </c>
      <c r="C1133" s="1" t="s">
        <v>42</v>
      </c>
      <c r="D1133" s="0" t="n">
        <v>8930</v>
      </c>
      <c r="E1133" s="0" t="n">
        <v>13130</v>
      </c>
      <c r="F1133" s="0" t="n">
        <f aca="false">D1133*E1133</f>
        <v>117250900</v>
      </c>
      <c r="G1133" s="0" t="n">
        <f aca="false">INDEX(마스터!$E:$E,MATCH(C1133,마스터!$A:$A,0))</f>
        <v>6730</v>
      </c>
      <c r="H1133" s="0" t="n">
        <f aca="false">D1133*G1133</f>
        <v>60098900</v>
      </c>
    </row>
    <row r="1134" customFormat="false" ht="15" hidden="false" customHeight="false" outlineLevel="0" collapsed="false">
      <c r="A1134" s="0" t="s">
        <v>113</v>
      </c>
      <c r="B1134" s="1" t="s">
        <v>16</v>
      </c>
      <c r="C1134" s="1" t="s">
        <v>55</v>
      </c>
      <c r="D1134" s="0" t="n">
        <v>6180</v>
      </c>
      <c r="E1134" s="0" t="n">
        <v>12780</v>
      </c>
      <c r="F1134" s="0" t="n">
        <f aca="false">D1134*E1134</f>
        <v>78980400</v>
      </c>
      <c r="G1134" s="0" t="n">
        <f aca="false">INDEX(마스터!$E:$E,MATCH(C1134,마스터!$A:$A,0))</f>
        <v>6040</v>
      </c>
      <c r="H1134" s="0" t="n">
        <f aca="false">D1134*G1134</f>
        <v>37327200</v>
      </c>
    </row>
    <row r="1135" customFormat="false" ht="15" hidden="false" customHeight="false" outlineLevel="0" collapsed="false">
      <c r="A1135" s="0" t="s">
        <v>113</v>
      </c>
      <c r="B1135" s="1" t="s">
        <v>16</v>
      </c>
      <c r="C1135" s="1" t="s">
        <v>75</v>
      </c>
      <c r="D1135" s="0" t="n">
        <v>4500</v>
      </c>
      <c r="E1135" s="0" t="n">
        <v>11750</v>
      </c>
      <c r="F1135" s="0" t="n">
        <f aca="false">D1135*E1135</f>
        <v>52875000</v>
      </c>
      <c r="G1135" s="0" t="n">
        <f aca="false">INDEX(마스터!$E:$E,MATCH(C1135,마스터!$A:$A,0))</f>
        <v>5440</v>
      </c>
      <c r="H1135" s="0" t="n">
        <f aca="false">D1135*G1135</f>
        <v>24480000</v>
      </c>
    </row>
    <row r="1136" customFormat="false" ht="15" hidden="false" customHeight="false" outlineLevel="0" collapsed="false">
      <c r="A1136" s="0" t="s">
        <v>113</v>
      </c>
      <c r="B1136" s="1" t="s">
        <v>16</v>
      </c>
      <c r="C1136" s="1" t="s">
        <v>47</v>
      </c>
      <c r="D1136" s="0" t="n">
        <v>5070</v>
      </c>
      <c r="E1136" s="0" t="n">
        <v>8980</v>
      </c>
      <c r="F1136" s="0" t="n">
        <f aca="false">D1136*E1136</f>
        <v>45528600</v>
      </c>
      <c r="G1136" s="0" t="n">
        <f aca="false">INDEX(마스터!$E:$E,MATCH(C1136,마스터!$A:$A,0))</f>
        <v>4170</v>
      </c>
      <c r="H1136" s="0" t="n">
        <f aca="false">D1136*G1136</f>
        <v>21141900</v>
      </c>
    </row>
    <row r="1137" customFormat="false" ht="15" hidden="false" customHeight="false" outlineLevel="0" collapsed="false">
      <c r="A1137" s="0" t="s">
        <v>113</v>
      </c>
      <c r="B1137" s="1" t="s">
        <v>17</v>
      </c>
      <c r="C1137" s="1" t="s">
        <v>45</v>
      </c>
      <c r="D1137" s="0" t="n">
        <v>2890</v>
      </c>
      <c r="E1137" s="0" t="n">
        <v>11920</v>
      </c>
      <c r="F1137" s="0" t="n">
        <f aca="false">D1137*E1137</f>
        <v>34448800</v>
      </c>
      <c r="G1137" s="0" t="n">
        <f aca="false">INDEX(마스터!$E:$E,MATCH(C1137,마스터!$A:$A,0))</f>
        <v>6110</v>
      </c>
      <c r="H1137" s="0" t="n">
        <f aca="false">D1137*G1137</f>
        <v>17657900</v>
      </c>
    </row>
    <row r="1138" customFormat="false" ht="15" hidden="false" customHeight="false" outlineLevel="0" collapsed="false">
      <c r="A1138" s="0" t="s">
        <v>113</v>
      </c>
      <c r="B1138" s="1" t="s">
        <v>17</v>
      </c>
      <c r="C1138" s="1" t="s">
        <v>38</v>
      </c>
      <c r="D1138" s="0" t="n">
        <v>4320</v>
      </c>
      <c r="E1138" s="0" t="n">
        <v>11270</v>
      </c>
      <c r="F1138" s="0" t="n">
        <f aca="false">D1138*E1138</f>
        <v>48686400</v>
      </c>
      <c r="G1138" s="0" t="n">
        <f aca="false">INDEX(마스터!$E:$E,MATCH(C1138,마스터!$A:$A,0))</f>
        <v>5670</v>
      </c>
      <c r="H1138" s="0" t="n">
        <f aca="false">D1138*G1138</f>
        <v>24494400</v>
      </c>
    </row>
    <row r="1139" customFormat="false" ht="15" hidden="false" customHeight="false" outlineLevel="0" collapsed="false">
      <c r="A1139" s="0" t="s">
        <v>113</v>
      </c>
      <c r="B1139" s="1" t="s">
        <v>17</v>
      </c>
      <c r="C1139" s="1" t="s">
        <v>41</v>
      </c>
      <c r="D1139" s="0" t="n">
        <v>4290</v>
      </c>
      <c r="E1139" s="0" t="n">
        <v>10950</v>
      </c>
      <c r="F1139" s="0" t="n">
        <f aca="false">D1139*E1139</f>
        <v>46975500</v>
      </c>
      <c r="G1139" s="0" t="n">
        <f aca="false">INDEX(마스터!$E:$E,MATCH(C1139,마스터!$A:$A,0))</f>
        <v>5480</v>
      </c>
      <c r="H1139" s="0" t="n">
        <f aca="false">D1139*G1139</f>
        <v>23509200</v>
      </c>
    </row>
    <row r="1140" customFormat="false" ht="15" hidden="false" customHeight="false" outlineLevel="0" collapsed="false">
      <c r="A1140" s="0" t="s">
        <v>113</v>
      </c>
      <c r="B1140" s="1" t="s">
        <v>17</v>
      </c>
      <c r="C1140" s="1" t="s">
        <v>46</v>
      </c>
      <c r="D1140" s="0" t="n">
        <v>4300</v>
      </c>
      <c r="E1140" s="0" t="n">
        <v>13210</v>
      </c>
      <c r="F1140" s="0" t="n">
        <f aca="false">D1140*E1140</f>
        <v>56803000</v>
      </c>
      <c r="G1140" s="0" t="n">
        <f aca="false">INDEX(마스터!$E:$E,MATCH(C1140,마스터!$A:$A,0))</f>
        <v>6910</v>
      </c>
      <c r="H1140" s="0" t="n">
        <f aca="false">D1140*G1140</f>
        <v>29713000</v>
      </c>
    </row>
    <row r="1141" customFormat="false" ht="15" hidden="false" customHeight="false" outlineLevel="0" collapsed="false">
      <c r="A1141" s="0" t="s">
        <v>113</v>
      </c>
      <c r="B1141" s="1" t="s">
        <v>17</v>
      </c>
      <c r="C1141" s="1" t="s">
        <v>42</v>
      </c>
      <c r="D1141" s="0" t="n">
        <v>6830</v>
      </c>
      <c r="E1141" s="0" t="n">
        <v>12240</v>
      </c>
      <c r="F1141" s="0" t="n">
        <f aca="false">D1141*E1141</f>
        <v>83599200</v>
      </c>
      <c r="G1141" s="0" t="n">
        <f aca="false">INDEX(마스터!$E:$E,MATCH(C1141,마스터!$A:$A,0))</f>
        <v>6730</v>
      </c>
      <c r="H1141" s="0" t="n">
        <f aca="false">D1141*G1141</f>
        <v>45965900</v>
      </c>
    </row>
    <row r="1142" customFormat="false" ht="15" hidden="false" customHeight="false" outlineLevel="0" collapsed="false">
      <c r="A1142" s="0" t="s">
        <v>113</v>
      </c>
      <c r="B1142" s="1" t="s">
        <v>17</v>
      </c>
      <c r="C1142" s="1" t="s">
        <v>90</v>
      </c>
      <c r="D1142" s="0" t="n">
        <v>3230</v>
      </c>
      <c r="E1142" s="0" t="n">
        <v>10630</v>
      </c>
      <c r="F1142" s="0" t="n">
        <f aca="false">D1142*E1142</f>
        <v>34334900</v>
      </c>
      <c r="G1142" s="0" t="n">
        <f aca="false">INDEX(마스터!$E:$E,MATCH(C1142,마스터!$A:$A,0))</f>
        <v>5290</v>
      </c>
      <c r="H1142" s="0" t="n">
        <f aca="false">D1142*G1142</f>
        <v>17086700</v>
      </c>
    </row>
    <row r="1143" customFormat="false" ht="15" hidden="false" customHeight="false" outlineLevel="0" collapsed="false">
      <c r="A1143" s="0" t="s">
        <v>113</v>
      </c>
      <c r="B1143" s="1" t="s">
        <v>17</v>
      </c>
      <c r="C1143" s="1" t="s">
        <v>68</v>
      </c>
      <c r="D1143" s="0" t="n">
        <v>3530</v>
      </c>
      <c r="E1143" s="0" t="n">
        <v>9660</v>
      </c>
      <c r="F1143" s="0" t="n">
        <f aca="false">D1143*E1143</f>
        <v>34099800</v>
      </c>
      <c r="G1143" s="0" t="n">
        <f aca="false">INDEX(마스터!$E:$E,MATCH(C1143,마스터!$A:$A,0))</f>
        <v>4880</v>
      </c>
      <c r="H1143" s="0" t="n">
        <f aca="false">D1143*G1143</f>
        <v>17226400</v>
      </c>
    </row>
    <row r="1144" customFormat="false" ht="15" hidden="false" customHeight="false" outlineLevel="0" collapsed="false">
      <c r="A1144" s="0" t="s">
        <v>113</v>
      </c>
      <c r="B1144" s="1" t="s">
        <v>18</v>
      </c>
      <c r="C1144" s="1" t="s">
        <v>53</v>
      </c>
      <c r="D1144" s="0" t="n">
        <v>5570</v>
      </c>
      <c r="E1144" s="0" t="n">
        <v>13430</v>
      </c>
      <c r="F1144" s="0" t="n">
        <f aca="false">D1144*E1144</f>
        <v>74805100</v>
      </c>
      <c r="G1144" s="0" t="n">
        <f aca="false">INDEX(마스터!$E:$E,MATCH(C1144,마스터!$A:$A,0))</f>
        <v>6630</v>
      </c>
      <c r="H1144" s="0" t="n">
        <f aca="false">D1144*G1144</f>
        <v>36929100</v>
      </c>
    </row>
    <row r="1145" customFormat="false" ht="15" hidden="false" customHeight="false" outlineLevel="0" collapsed="false">
      <c r="A1145" s="0" t="s">
        <v>113</v>
      </c>
      <c r="B1145" s="1" t="s">
        <v>18</v>
      </c>
      <c r="C1145" s="1" t="s">
        <v>55</v>
      </c>
      <c r="D1145" s="0" t="n">
        <v>6820</v>
      </c>
      <c r="E1145" s="0" t="n">
        <v>12740</v>
      </c>
      <c r="F1145" s="0" t="n">
        <f aca="false">D1145*E1145</f>
        <v>86886800</v>
      </c>
      <c r="G1145" s="0" t="n">
        <f aca="false">INDEX(마스터!$E:$E,MATCH(C1145,마스터!$A:$A,0))</f>
        <v>6040</v>
      </c>
      <c r="H1145" s="0" t="n">
        <f aca="false">D1145*G1145</f>
        <v>41192800</v>
      </c>
    </row>
    <row r="1146" customFormat="false" ht="15" hidden="false" customHeight="false" outlineLevel="0" collapsed="false">
      <c r="A1146" s="0" t="s">
        <v>113</v>
      </c>
      <c r="B1146" s="1" t="s">
        <v>18</v>
      </c>
      <c r="C1146" s="1" t="s">
        <v>36</v>
      </c>
      <c r="D1146" s="0" t="n">
        <v>4610</v>
      </c>
      <c r="E1146" s="0" t="n">
        <v>9980</v>
      </c>
      <c r="F1146" s="0" t="n">
        <f aca="false">D1146*E1146</f>
        <v>46007800</v>
      </c>
      <c r="G1146" s="0" t="n">
        <f aca="false">INDEX(마스터!$E:$E,MATCH(C1146,마스터!$A:$A,0))</f>
        <v>4540</v>
      </c>
      <c r="H1146" s="0" t="n">
        <f aca="false">D1146*G1146</f>
        <v>20929400</v>
      </c>
    </row>
    <row r="1147" customFormat="false" ht="15" hidden="false" customHeight="false" outlineLevel="0" collapsed="false">
      <c r="A1147" s="0" t="s">
        <v>113</v>
      </c>
      <c r="B1147" s="1" t="s">
        <v>18</v>
      </c>
      <c r="C1147" s="1" t="s">
        <v>47</v>
      </c>
      <c r="D1147" s="0" t="n">
        <v>6540</v>
      </c>
      <c r="E1147" s="0" t="n">
        <v>8950</v>
      </c>
      <c r="F1147" s="0" t="n">
        <f aca="false">D1147*E1147</f>
        <v>58533000</v>
      </c>
      <c r="G1147" s="0" t="n">
        <f aca="false">INDEX(마스터!$E:$E,MATCH(C1147,마스터!$A:$A,0))</f>
        <v>4170</v>
      </c>
      <c r="H1147" s="0" t="n">
        <f aca="false">D1147*G1147</f>
        <v>27271800</v>
      </c>
    </row>
    <row r="1148" customFormat="false" ht="15" hidden="false" customHeight="false" outlineLevel="0" collapsed="false">
      <c r="A1148" s="0" t="s">
        <v>113</v>
      </c>
      <c r="B1148" s="1" t="s">
        <v>19</v>
      </c>
      <c r="C1148" s="1" t="s">
        <v>45</v>
      </c>
      <c r="D1148" s="0" t="n">
        <v>3100</v>
      </c>
      <c r="E1148" s="0" t="n">
        <v>11990</v>
      </c>
      <c r="F1148" s="0" t="n">
        <f aca="false">D1148*E1148</f>
        <v>37169000</v>
      </c>
      <c r="G1148" s="0" t="n">
        <f aca="false">INDEX(마스터!$E:$E,MATCH(C1148,마스터!$A:$A,0))</f>
        <v>6110</v>
      </c>
      <c r="H1148" s="0" t="n">
        <f aca="false">D1148*G1148</f>
        <v>18941000</v>
      </c>
    </row>
    <row r="1149" customFormat="false" ht="15" hidden="false" customHeight="false" outlineLevel="0" collapsed="false">
      <c r="A1149" s="0" t="s">
        <v>113</v>
      </c>
      <c r="B1149" s="1" t="s">
        <v>19</v>
      </c>
      <c r="C1149" s="1" t="s">
        <v>61</v>
      </c>
      <c r="D1149" s="0" t="n">
        <v>4710</v>
      </c>
      <c r="E1149" s="0" t="n">
        <v>10050</v>
      </c>
      <c r="F1149" s="0" t="n">
        <f aca="false">D1149*E1149</f>
        <v>47335500</v>
      </c>
      <c r="G1149" s="0" t="n">
        <f aca="false">INDEX(마스터!$E:$E,MATCH(C1149,마스터!$A:$A,0))</f>
        <v>5390</v>
      </c>
      <c r="H1149" s="0" t="n">
        <f aca="false">D1149*G1149</f>
        <v>25386900</v>
      </c>
    </row>
    <row r="1150" customFormat="false" ht="15" hidden="false" customHeight="false" outlineLevel="0" collapsed="false">
      <c r="A1150" s="0" t="s">
        <v>113</v>
      </c>
      <c r="B1150" s="1" t="s">
        <v>19</v>
      </c>
      <c r="C1150" s="1" t="s">
        <v>51</v>
      </c>
      <c r="D1150" s="0" t="n">
        <v>3550</v>
      </c>
      <c r="E1150" s="0" t="n">
        <v>13290</v>
      </c>
      <c r="F1150" s="0" t="n">
        <f aca="false">D1150*E1150</f>
        <v>47179500</v>
      </c>
      <c r="G1150" s="0" t="n">
        <f aca="false">INDEX(마스터!$E:$E,MATCH(C1150,마스터!$A:$A,0))</f>
        <v>7480</v>
      </c>
      <c r="H1150" s="0" t="n">
        <f aca="false">D1150*G1150</f>
        <v>26554000</v>
      </c>
    </row>
    <row r="1151" customFormat="false" ht="15" hidden="false" customHeight="false" outlineLevel="0" collapsed="false">
      <c r="A1151" s="0" t="s">
        <v>113</v>
      </c>
      <c r="B1151" s="1" t="s">
        <v>19</v>
      </c>
      <c r="C1151" s="1" t="s">
        <v>71</v>
      </c>
      <c r="D1151" s="0" t="n">
        <v>3220</v>
      </c>
      <c r="E1151" s="0" t="n">
        <v>8430</v>
      </c>
      <c r="F1151" s="0" t="n">
        <f aca="false">D1151*E1151</f>
        <v>27144600</v>
      </c>
      <c r="G1151" s="0" t="n">
        <f aca="false">INDEX(마스터!$E:$E,MATCH(C1151,마스터!$A:$A,0))</f>
        <v>4330</v>
      </c>
      <c r="H1151" s="0" t="n">
        <f aca="false">D1151*G1151</f>
        <v>13942600</v>
      </c>
    </row>
    <row r="1152" customFormat="false" ht="15" hidden="false" customHeight="false" outlineLevel="0" collapsed="false">
      <c r="A1152" s="0" t="s">
        <v>113</v>
      </c>
      <c r="B1152" s="1" t="s">
        <v>19</v>
      </c>
      <c r="C1152" s="1" t="s">
        <v>47</v>
      </c>
      <c r="D1152" s="0" t="n">
        <v>4840</v>
      </c>
      <c r="E1152" s="0" t="n">
        <v>8430</v>
      </c>
      <c r="F1152" s="0" t="n">
        <f aca="false">D1152*E1152</f>
        <v>40801200</v>
      </c>
      <c r="G1152" s="0" t="n">
        <f aca="false">INDEX(마스터!$E:$E,MATCH(C1152,마스터!$A:$A,0))</f>
        <v>4170</v>
      </c>
      <c r="H1152" s="0" t="n">
        <f aca="false">D1152*G1152</f>
        <v>20182800</v>
      </c>
    </row>
    <row r="1153" customFormat="false" ht="15" hidden="false" customHeight="false" outlineLevel="0" collapsed="false">
      <c r="A1153" s="0" t="s">
        <v>113</v>
      </c>
      <c r="B1153" s="1" t="s">
        <v>20</v>
      </c>
      <c r="C1153" s="1" t="s">
        <v>32</v>
      </c>
      <c r="D1153" s="0" t="n">
        <v>3340</v>
      </c>
      <c r="E1153" s="0" t="n">
        <v>11790</v>
      </c>
      <c r="F1153" s="0" t="n">
        <f aca="false">D1153*E1153</f>
        <v>39378600</v>
      </c>
      <c r="G1153" s="0" t="n">
        <f aca="false">INDEX(마스터!$E:$E,MATCH(C1153,마스터!$A:$A,0))</f>
        <v>5790</v>
      </c>
      <c r="H1153" s="0" t="n">
        <f aca="false">D1153*G1153</f>
        <v>19338600</v>
      </c>
    </row>
    <row r="1154" customFormat="false" ht="15" hidden="false" customHeight="false" outlineLevel="0" collapsed="false">
      <c r="A1154" s="0" t="s">
        <v>113</v>
      </c>
      <c r="B1154" s="1" t="s">
        <v>20</v>
      </c>
      <c r="C1154" s="1" t="s">
        <v>38</v>
      </c>
      <c r="D1154" s="0" t="n">
        <v>3570</v>
      </c>
      <c r="E1154" s="0" t="n">
        <v>12140</v>
      </c>
      <c r="F1154" s="0" t="n">
        <f aca="false">D1154*E1154</f>
        <v>43339800</v>
      </c>
      <c r="G1154" s="0" t="n">
        <f aca="false">INDEX(마스터!$E:$E,MATCH(C1154,마스터!$A:$A,0))</f>
        <v>5670</v>
      </c>
      <c r="H1154" s="0" t="n">
        <f aca="false">D1154*G1154</f>
        <v>20241900</v>
      </c>
    </row>
    <row r="1155" customFormat="false" ht="15" hidden="false" customHeight="false" outlineLevel="0" collapsed="false">
      <c r="A1155" s="0" t="s">
        <v>113</v>
      </c>
      <c r="B1155" s="1" t="s">
        <v>20</v>
      </c>
      <c r="C1155" s="1" t="s">
        <v>53</v>
      </c>
      <c r="D1155" s="0" t="n">
        <v>4560</v>
      </c>
      <c r="E1155" s="0" t="n">
        <v>13520</v>
      </c>
      <c r="F1155" s="0" t="n">
        <f aca="false">D1155*E1155</f>
        <v>61651200</v>
      </c>
      <c r="G1155" s="0" t="n">
        <f aca="false">INDEX(마스터!$E:$E,MATCH(C1155,마스터!$A:$A,0))</f>
        <v>6630</v>
      </c>
      <c r="H1155" s="0" t="n">
        <f aca="false">D1155*G1155</f>
        <v>30232800</v>
      </c>
    </row>
    <row r="1156" customFormat="false" ht="15" hidden="false" customHeight="false" outlineLevel="0" collapsed="false">
      <c r="A1156" s="0" t="s">
        <v>113</v>
      </c>
      <c r="B1156" s="1" t="s">
        <v>20</v>
      </c>
      <c r="C1156" s="1" t="s">
        <v>65</v>
      </c>
      <c r="D1156" s="0" t="n">
        <v>2610</v>
      </c>
      <c r="E1156" s="0" t="n">
        <v>14220</v>
      </c>
      <c r="F1156" s="0" t="n">
        <f aca="false">D1156*E1156</f>
        <v>37114200</v>
      </c>
      <c r="G1156" s="0" t="n">
        <f aca="false">INDEX(마스터!$E:$E,MATCH(C1156,마스터!$A:$A,0))</f>
        <v>6670</v>
      </c>
      <c r="H1156" s="0" t="n">
        <f aca="false">D1156*G1156</f>
        <v>17408700</v>
      </c>
    </row>
    <row r="1157" customFormat="false" ht="15" hidden="false" customHeight="false" outlineLevel="0" collapsed="false">
      <c r="A1157" s="0" t="s">
        <v>113</v>
      </c>
      <c r="B1157" s="1" t="s">
        <v>21</v>
      </c>
      <c r="C1157" s="1" t="s">
        <v>45</v>
      </c>
      <c r="D1157" s="0" t="n">
        <v>4500</v>
      </c>
      <c r="E1157" s="0" t="n">
        <v>12970</v>
      </c>
      <c r="F1157" s="0" t="n">
        <f aca="false">D1157*E1157</f>
        <v>58365000</v>
      </c>
      <c r="G1157" s="0" t="n">
        <f aca="false">INDEX(마스터!$E:$E,MATCH(C1157,마스터!$A:$A,0))</f>
        <v>6110</v>
      </c>
      <c r="H1157" s="0" t="n">
        <f aca="false">D1157*G1157</f>
        <v>27495000</v>
      </c>
    </row>
    <row r="1158" customFormat="false" ht="15" hidden="false" customHeight="false" outlineLevel="0" collapsed="false">
      <c r="A1158" s="0" t="s">
        <v>113</v>
      </c>
      <c r="B1158" s="1" t="s">
        <v>21</v>
      </c>
      <c r="C1158" s="1" t="s">
        <v>48</v>
      </c>
      <c r="D1158" s="0" t="n">
        <v>4840</v>
      </c>
      <c r="E1158" s="0" t="n">
        <v>12970</v>
      </c>
      <c r="F1158" s="0" t="n">
        <f aca="false">D1158*E1158</f>
        <v>62774800</v>
      </c>
      <c r="G1158" s="0" t="n">
        <f aca="false">INDEX(마스터!$E:$E,MATCH(C1158,마스터!$A:$A,0))</f>
        <v>6440</v>
      </c>
      <c r="H1158" s="0" t="n">
        <f aca="false">D1158*G1158</f>
        <v>31169600</v>
      </c>
    </row>
    <row r="1159" customFormat="false" ht="15" hidden="false" customHeight="false" outlineLevel="0" collapsed="false">
      <c r="A1159" s="0" t="s">
        <v>113</v>
      </c>
      <c r="B1159" s="1" t="s">
        <v>21</v>
      </c>
      <c r="C1159" s="1" t="s">
        <v>36</v>
      </c>
      <c r="D1159" s="0" t="n">
        <v>3430</v>
      </c>
      <c r="E1159" s="0" t="n">
        <v>10160</v>
      </c>
      <c r="F1159" s="0" t="n">
        <f aca="false">D1159*E1159</f>
        <v>34848800</v>
      </c>
      <c r="G1159" s="0" t="n">
        <f aca="false">INDEX(마스터!$E:$E,MATCH(C1159,마스터!$A:$A,0))</f>
        <v>4540</v>
      </c>
      <c r="H1159" s="0" t="n">
        <f aca="false">D1159*G1159</f>
        <v>15572200</v>
      </c>
    </row>
    <row r="1160" customFormat="false" ht="15" hidden="false" customHeight="false" outlineLevel="0" collapsed="false">
      <c r="A1160" s="0" t="s">
        <v>113</v>
      </c>
      <c r="B1160" s="1" t="s">
        <v>22</v>
      </c>
      <c r="C1160" s="1" t="s">
        <v>82</v>
      </c>
      <c r="D1160" s="0" t="n">
        <v>5300</v>
      </c>
      <c r="E1160" s="0" t="n">
        <v>11210</v>
      </c>
      <c r="F1160" s="0" t="n">
        <f aca="false">D1160*E1160</f>
        <v>59413000</v>
      </c>
      <c r="G1160" s="0" t="n">
        <f aca="false">INDEX(마스터!$E:$E,MATCH(C1160,마스터!$A:$A,0))</f>
        <v>5660</v>
      </c>
      <c r="H1160" s="0" t="n">
        <f aca="false">D1160*G1160</f>
        <v>29998000</v>
      </c>
    </row>
    <row r="1161" customFormat="false" ht="15" hidden="false" customHeight="false" outlineLevel="0" collapsed="false">
      <c r="A1161" s="0" t="s">
        <v>113</v>
      </c>
      <c r="B1161" s="1" t="s">
        <v>22</v>
      </c>
      <c r="C1161" s="1" t="s">
        <v>108</v>
      </c>
      <c r="D1161" s="0" t="n">
        <v>5960</v>
      </c>
      <c r="E1161" s="0" t="n">
        <v>14370</v>
      </c>
      <c r="F1161" s="0" t="n">
        <f aca="false">D1161*E1161</f>
        <v>85645200</v>
      </c>
      <c r="G1161" s="0" t="n">
        <f aca="false">INDEX(마스터!$E:$E,MATCH(C1161,마스터!$A:$A,0))</f>
        <v>7290</v>
      </c>
      <c r="H1161" s="0" t="n">
        <f aca="false">D1161*G1161</f>
        <v>43448400</v>
      </c>
    </row>
    <row r="1162" customFormat="false" ht="15" hidden="false" customHeight="false" outlineLevel="0" collapsed="false">
      <c r="A1162" s="0" t="s">
        <v>113</v>
      </c>
      <c r="B1162" s="1" t="s">
        <v>23</v>
      </c>
      <c r="C1162" s="1" t="s">
        <v>86</v>
      </c>
      <c r="D1162" s="0" t="n">
        <v>4180</v>
      </c>
      <c r="E1162" s="0" t="n">
        <v>12930</v>
      </c>
      <c r="F1162" s="0" t="n">
        <f aca="false">D1162*E1162</f>
        <v>54047400</v>
      </c>
      <c r="G1162" s="0" t="n">
        <f aca="false">INDEX(마스터!$E:$E,MATCH(C1162,마스터!$A:$A,0))</f>
        <v>6430</v>
      </c>
      <c r="H1162" s="0" t="n">
        <f aca="false">D1162*G1162</f>
        <v>26877400</v>
      </c>
    </row>
    <row r="1163" customFormat="false" ht="15" hidden="false" customHeight="false" outlineLevel="0" collapsed="false">
      <c r="A1163" s="0" t="s">
        <v>113</v>
      </c>
      <c r="B1163" s="1" t="s">
        <v>23</v>
      </c>
      <c r="C1163" s="1" t="s">
        <v>66</v>
      </c>
      <c r="D1163" s="0" t="n">
        <v>5800</v>
      </c>
      <c r="E1163" s="0" t="n">
        <v>12930</v>
      </c>
      <c r="F1163" s="0" t="n">
        <f aca="false">D1163*E1163</f>
        <v>74994000</v>
      </c>
      <c r="G1163" s="0" t="n">
        <f aca="false">INDEX(마스터!$E:$E,MATCH(C1163,마스터!$A:$A,0))</f>
        <v>6360</v>
      </c>
      <c r="H1163" s="0" t="n">
        <f aca="false">D1163*G1163</f>
        <v>36888000</v>
      </c>
    </row>
    <row r="1164" customFormat="false" ht="15" hidden="false" customHeight="false" outlineLevel="0" collapsed="false">
      <c r="A1164" s="0" t="s">
        <v>113</v>
      </c>
      <c r="B1164" s="1" t="s">
        <v>25</v>
      </c>
      <c r="C1164" s="1" t="s">
        <v>77</v>
      </c>
      <c r="D1164" s="0" t="n">
        <v>4640</v>
      </c>
      <c r="E1164" s="0" t="n">
        <v>11890</v>
      </c>
      <c r="F1164" s="0" t="n">
        <f aca="false">D1164*E1164</f>
        <v>55169600</v>
      </c>
      <c r="G1164" s="0" t="n">
        <f aca="false">INDEX(마스터!$E:$E,MATCH(C1164,마스터!$A:$A,0))</f>
        <v>5380</v>
      </c>
      <c r="H1164" s="0" t="n">
        <f aca="false">D1164*G1164</f>
        <v>24963200</v>
      </c>
    </row>
    <row r="1165" customFormat="false" ht="15" hidden="false" customHeight="false" outlineLevel="0" collapsed="false">
      <c r="A1165" s="0" t="s">
        <v>113</v>
      </c>
      <c r="B1165" s="1" t="s">
        <v>25</v>
      </c>
      <c r="C1165" s="1" t="s">
        <v>90</v>
      </c>
      <c r="D1165" s="0" t="n">
        <v>3550</v>
      </c>
      <c r="E1165" s="0" t="n">
        <v>11540</v>
      </c>
      <c r="F1165" s="0" t="n">
        <f aca="false">D1165*E1165</f>
        <v>40967000</v>
      </c>
      <c r="G1165" s="0" t="n">
        <f aca="false">INDEX(마스터!$E:$E,MATCH(C1165,마스터!$A:$A,0))</f>
        <v>5290</v>
      </c>
      <c r="H1165" s="0" t="n">
        <f aca="false">D1165*G1165</f>
        <v>18779500</v>
      </c>
    </row>
    <row r="1166" customFormat="false" ht="15" hidden="false" customHeight="false" outlineLevel="0" collapsed="false">
      <c r="A1166" s="0" t="s">
        <v>113</v>
      </c>
      <c r="B1166" s="1" t="s">
        <v>24</v>
      </c>
      <c r="C1166" s="1" t="s">
        <v>38</v>
      </c>
      <c r="D1166" s="0" t="n">
        <v>4380</v>
      </c>
      <c r="E1166" s="0" t="n">
        <v>12260</v>
      </c>
      <c r="F1166" s="0" t="n">
        <f aca="false">D1166*E1166</f>
        <v>53698800</v>
      </c>
      <c r="G1166" s="0" t="n">
        <f aca="false">INDEX(마스터!$E:$E,MATCH(C1166,마스터!$A:$A,0))</f>
        <v>5670</v>
      </c>
      <c r="H1166" s="0" t="n">
        <f aca="false">D1166*G1166</f>
        <v>24834600</v>
      </c>
    </row>
    <row r="1167" customFormat="false" ht="15" hidden="false" customHeight="false" outlineLevel="0" collapsed="false">
      <c r="A1167" s="0" t="s">
        <v>113</v>
      </c>
      <c r="B1167" s="1" t="s">
        <v>24</v>
      </c>
      <c r="C1167" s="1" t="s">
        <v>47</v>
      </c>
      <c r="D1167" s="0" t="n">
        <v>3810</v>
      </c>
      <c r="E1167" s="0" t="n">
        <v>9110</v>
      </c>
      <c r="F1167" s="0" t="n">
        <f aca="false">D1167*E1167</f>
        <v>34709100</v>
      </c>
      <c r="G1167" s="0" t="n">
        <f aca="false">INDEX(마스터!$E:$E,MATCH(C1167,마스터!$A:$A,0))</f>
        <v>4170</v>
      </c>
      <c r="H1167" s="0" t="n">
        <f aca="false">D1167*G1167</f>
        <v>15887700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5</v>
      </c>
      <c r="E1" s="1" t="s">
        <v>114</v>
      </c>
      <c r="F1" s="1" t="s">
        <v>115</v>
      </c>
      <c r="G1" s="1" t="s">
        <v>2</v>
      </c>
      <c r="H1" s="1" t="s">
        <v>30</v>
      </c>
      <c r="I1" s="1" t="s">
        <v>4</v>
      </c>
    </row>
    <row r="2" customFormat="false" ht="15" hidden="false" customHeight="false" outlineLevel="0" collapsed="false">
      <c r="A2" s="0" t="s">
        <v>73</v>
      </c>
      <c r="B2" s="1" t="s">
        <v>14</v>
      </c>
      <c r="C2" s="1" t="s">
        <v>33</v>
      </c>
      <c r="D2" s="0" t="n">
        <v>5791</v>
      </c>
      <c r="E2" s="1" t="s">
        <v>116</v>
      </c>
      <c r="F2" s="0" t="n">
        <f aca="false">SUMIFS(출고!$F$2:$F$1167,출고!$B$2:$B$1167,B2,출고!$C$2:$C$1167,C2)/SUMIFS(출고!$D$2:$D$1167,출고!$B$2:$B$1167,B2,출고!$C$2:$C$1167,C2)</f>
        <v>12269.4909993793</v>
      </c>
      <c r="G2" s="0" t="n">
        <f aca="false">D2*F2</f>
        <v>71052622.3774054</v>
      </c>
      <c r="H2" s="0" t="n">
        <f aca="false">INDEX(마스터!$E:$E,MATCH(C2,마스터!$A:$A,0))</f>
        <v>6790</v>
      </c>
      <c r="I2" s="0" t="n">
        <f aca="false">IF(OR(E2="개정판교체",E2="파본"),0,D2*H2)</f>
        <v>39320890</v>
      </c>
    </row>
    <row r="3" customFormat="false" ht="15" hidden="false" customHeight="false" outlineLevel="0" collapsed="false">
      <c r="A3" s="0" t="s">
        <v>73</v>
      </c>
      <c r="B3" s="1" t="s">
        <v>15</v>
      </c>
      <c r="C3" s="1" t="s">
        <v>37</v>
      </c>
      <c r="D3" s="0" t="n">
        <v>1297</v>
      </c>
      <c r="E3" s="1" t="s">
        <v>117</v>
      </c>
      <c r="F3" s="0" t="n">
        <f aca="false">SUMIFS(출고!$F$2:$F$1167,출고!$B$2:$B$1167,B3,출고!$C$2:$C$1167,C3)/SUMIFS(출고!$D$2:$D$1167,출고!$B$2:$B$1167,B3,출고!$C$2:$C$1167,C3)</f>
        <v>9748.36139435618</v>
      </c>
      <c r="G3" s="0" t="n">
        <f aca="false">D3*F3</f>
        <v>12643624.72848</v>
      </c>
      <c r="H3" s="0" t="n">
        <f aca="false">INDEX(마스터!$E:$E,MATCH(C3,마스터!$A:$A,0))</f>
        <v>4900</v>
      </c>
      <c r="I3" s="0" t="n">
        <f aca="false">IF(OR(E3="개정판교체",E3="파본"),0,D3*H3)</f>
        <v>6355300</v>
      </c>
    </row>
    <row r="4" customFormat="false" ht="15" hidden="false" customHeight="false" outlineLevel="0" collapsed="false">
      <c r="A4" s="0" t="s">
        <v>73</v>
      </c>
      <c r="B4" s="1" t="s">
        <v>16</v>
      </c>
      <c r="C4" s="1" t="s">
        <v>44</v>
      </c>
      <c r="D4" s="0" t="n">
        <v>249</v>
      </c>
      <c r="E4" s="1" t="s">
        <v>117</v>
      </c>
      <c r="F4" s="0" t="n">
        <f aca="false">SUMIFS(출고!$F$2:$F$1167,출고!$B$2:$B$1167,B4,출고!$C$2:$C$1167,C4)/SUMIFS(출고!$D$2:$D$1167,출고!$B$2:$B$1167,B4,출고!$C$2:$C$1167,C4)</f>
        <v>12069.6448175654</v>
      </c>
      <c r="G4" s="0" t="n">
        <f aca="false">D4*F4</f>
        <v>3005341.55957378</v>
      </c>
      <c r="H4" s="0" t="n">
        <f aca="false">INDEX(마스터!$E:$E,MATCH(C4,마스터!$A:$A,0))</f>
        <v>5500</v>
      </c>
      <c r="I4" s="0" t="n">
        <f aca="false">IF(OR(E4="개정판교체",E4="파본"),0,D4*H4)</f>
        <v>1369500</v>
      </c>
    </row>
    <row r="5" customFormat="false" ht="15" hidden="false" customHeight="false" outlineLevel="0" collapsed="false">
      <c r="A5" s="0" t="s">
        <v>73</v>
      </c>
      <c r="B5" s="1" t="s">
        <v>17</v>
      </c>
      <c r="C5" s="1" t="s">
        <v>46</v>
      </c>
      <c r="D5" s="0" t="n">
        <v>1218</v>
      </c>
      <c r="E5" s="1" t="s">
        <v>117</v>
      </c>
      <c r="F5" s="0" t="n">
        <f aca="false">SUMIFS(출고!$F$2:$F$1167,출고!$B$2:$B$1167,B5,출고!$C$2:$C$1167,C5)/SUMIFS(출고!$D$2:$D$1167,출고!$B$2:$B$1167,B5,출고!$C$2:$C$1167,C5)</f>
        <v>13223.0326633166</v>
      </c>
      <c r="G5" s="0" t="n">
        <f aca="false">D5*F5</f>
        <v>16105653.7839196</v>
      </c>
      <c r="H5" s="0" t="n">
        <f aca="false">INDEX(마스터!$E:$E,MATCH(C5,마스터!$A:$A,0))</f>
        <v>6910</v>
      </c>
      <c r="I5" s="0" t="n">
        <f aca="false">IF(OR(E5="개정판교체",E5="파본"),0,D5*H5)</f>
        <v>8416380</v>
      </c>
    </row>
    <row r="6" customFormat="false" ht="15" hidden="false" customHeight="false" outlineLevel="0" collapsed="false">
      <c r="A6" s="0" t="s">
        <v>73</v>
      </c>
      <c r="B6" s="1" t="s">
        <v>19</v>
      </c>
      <c r="C6" s="1" t="s">
        <v>52</v>
      </c>
      <c r="D6" s="0" t="n">
        <v>362</v>
      </c>
      <c r="E6" s="1" t="s">
        <v>116</v>
      </c>
      <c r="F6" s="0" t="n">
        <f aca="false">SUMIFS(출고!$F$2:$F$1167,출고!$B$2:$B$1167,B6,출고!$C$2:$C$1167,C6)/SUMIFS(출고!$D$2:$D$1167,출고!$B$2:$B$1167,B6,출고!$C$2:$C$1167,C6)</f>
        <v>10384.0834575261</v>
      </c>
      <c r="G6" s="0" t="n">
        <f aca="false">D6*F6</f>
        <v>3759038.21162444</v>
      </c>
      <c r="H6" s="0" t="n">
        <f aca="false">INDEX(마스터!$E:$E,MATCH(C6,마스터!$A:$A,0))</f>
        <v>5110</v>
      </c>
      <c r="I6" s="0" t="n">
        <f aca="false">IF(OR(E6="개정판교체",E6="파본"),0,D6*H6)</f>
        <v>1849820</v>
      </c>
    </row>
    <row r="7" customFormat="false" ht="15" hidden="false" customHeight="false" outlineLevel="0" collapsed="false">
      <c r="A7" s="0" t="s">
        <v>73</v>
      </c>
      <c r="B7" s="1" t="s">
        <v>20</v>
      </c>
      <c r="C7" s="1" t="s">
        <v>55</v>
      </c>
      <c r="D7" s="0" t="n">
        <v>362</v>
      </c>
      <c r="E7" s="1" t="s">
        <v>116</v>
      </c>
      <c r="F7" s="0" t="n">
        <f aca="false">SUMIFS(출고!$F$2:$F$1167,출고!$B$2:$B$1167,B7,출고!$C$2:$C$1167,C7)/SUMIFS(출고!$D$2:$D$1167,출고!$B$2:$B$1167,B7,출고!$C$2:$C$1167,C7)</f>
        <v>13083.9090511587</v>
      </c>
      <c r="G7" s="0" t="n">
        <f aca="false">D7*F7</f>
        <v>4736375.07651946</v>
      </c>
      <c r="H7" s="0" t="n">
        <f aca="false">INDEX(마스터!$E:$E,MATCH(C7,마스터!$A:$A,0))</f>
        <v>6040</v>
      </c>
      <c r="I7" s="0" t="n">
        <f aca="false">IF(OR(E7="개정판교체",E7="파본"),0,D7*H7)</f>
        <v>2186480</v>
      </c>
    </row>
    <row r="8" customFormat="false" ht="15" hidden="false" customHeight="false" outlineLevel="0" collapsed="false">
      <c r="A8" s="0" t="s">
        <v>73</v>
      </c>
      <c r="B8" s="1" t="s">
        <v>20</v>
      </c>
      <c r="C8" s="1" t="s">
        <v>55</v>
      </c>
      <c r="D8" s="0" t="n">
        <v>195</v>
      </c>
      <c r="E8" s="1" t="s">
        <v>118</v>
      </c>
      <c r="F8" s="0" t="n">
        <f aca="false">SUMIFS(출고!$F$2:$F$1167,출고!$B$2:$B$1167,B8,출고!$C$2:$C$1167,C8)/SUMIFS(출고!$D$2:$D$1167,출고!$B$2:$B$1167,B8,출고!$C$2:$C$1167,C8)</f>
        <v>13083.9090511587</v>
      </c>
      <c r="G8" s="0" t="n">
        <f aca="false">D8*F8</f>
        <v>2551362.26497595</v>
      </c>
      <c r="H8" s="0" t="n">
        <f aca="false">INDEX(마스터!$E:$E,MATCH(C8,마스터!$A:$A,0))</f>
        <v>6040</v>
      </c>
      <c r="I8" s="0" t="n">
        <f aca="false">IF(OR(E8="개정판교체",E8="파본"),0,D8*H8)</f>
        <v>0</v>
      </c>
    </row>
    <row r="9" customFormat="false" ht="15" hidden="false" customHeight="false" outlineLevel="0" collapsed="false">
      <c r="A9" s="0" t="s">
        <v>78</v>
      </c>
      <c r="B9" s="1" t="s">
        <v>14</v>
      </c>
      <c r="C9" s="1" t="s">
        <v>35</v>
      </c>
      <c r="D9" s="0" t="n">
        <v>2815</v>
      </c>
      <c r="E9" s="1" t="s">
        <v>116</v>
      </c>
      <c r="F9" s="0" t="n">
        <f aca="false">SUMIFS(출고!$F$2:$F$1167,출고!$B$2:$B$1167,B9,출고!$C$2:$C$1167,C9)/SUMIFS(출고!$D$2:$D$1167,출고!$B$2:$B$1167,B9,출고!$C$2:$C$1167,C9)</f>
        <v>9672.97107438017</v>
      </c>
      <c r="G9" s="0" t="n">
        <f aca="false">D9*F9</f>
        <v>27229413.5743802</v>
      </c>
      <c r="H9" s="0" t="n">
        <f aca="false">INDEX(마스터!$E:$E,MATCH(C9,마스터!$A:$A,0))</f>
        <v>4920</v>
      </c>
      <c r="I9" s="0" t="n">
        <f aca="false">IF(OR(E9="개정판교체",E9="파본"),0,D9*H9)</f>
        <v>13849800</v>
      </c>
    </row>
    <row r="10" customFormat="false" ht="15" hidden="false" customHeight="false" outlineLevel="0" collapsed="false">
      <c r="A10" s="0" t="s">
        <v>78</v>
      </c>
      <c r="B10" s="1" t="s">
        <v>14</v>
      </c>
      <c r="C10" s="1" t="s">
        <v>36</v>
      </c>
      <c r="D10" s="0" t="n">
        <v>2494</v>
      </c>
      <c r="E10" s="1" t="s">
        <v>116</v>
      </c>
      <c r="F10" s="0" t="n">
        <f aca="false">SUMIFS(출고!$F$2:$F$1167,출고!$B$2:$B$1167,B10,출고!$C$2:$C$1167,C10)/SUMIFS(출고!$D$2:$D$1167,출고!$B$2:$B$1167,B10,출고!$C$2:$C$1167,C10)</f>
        <v>9351.30961392884</v>
      </c>
      <c r="G10" s="0" t="n">
        <f aca="false">D10*F10</f>
        <v>23322166.1771385</v>
      </c>
      <c r="H10" s="0" t="n">
        <f aca="false">INDEX(마스터!$E:$E,MATCH(C10,마스터!$A:$A,0))</f>
        <v>4540</v>
      </c>
      <c r="I10" s="0" t="n">
        <f aca="false">IF(OR(E10="개정판교체",E10="파본"),0,D10*H10)</f>
        <v>11322760</v>
      </c>
    </row>
    <row r="11" customFormat="false" ht="15" hidden="false" customHeight="false" outlineLevel="0" collapsed="false">
      <c r="A11" s="0" t="s">
        <v>78</v>
      </c>
      <c r="B11" s="1" t="s">
        <v>14</v>
      </c>
      <c r="C11" s="1" t="s">
        <v>47</v>
      </c>
      <c r="D11" s="0" t="n">
        <v>4013</v>
      </c>
      <c r="E11" s="1" t="s">
        <v>117</v>
      </c>
      <c r="F11" s="0" t="n">
        <f aca="false">SUMIFS(출고!$F$2:$F$1167,출고!$B$2:$B$1167,B11,출고!$C$2:$C$1167,C11)/SUMIFS(출고!$D$2:$D$1167,출고!$B$2:$B$1167,B11,출고!$C$2:$C$1167,C11)</f>
        <v>8382.27260602828</v>
      </c>
      <c r="G11" s="0" t="n">
        <f aca="false">D11*F11</f>
        <v>33638059.9679915</v>
      </c>
      <c r="H11" s="0" t="n">
        <f aca="false">INDEX(마스터!$E:$E,MATCH(C11,마스터!$A:$A,0))</f>
        <v>4170</v>
      </c>
      <c r="I11" s="0" t="n">
        <f aca="false">IF(OR(E11="개정판교체",E11="파본"),0,D11*H11)</f>
        <v>16734210</v>
      </c>
    </row>
    <row r="12" customFormat="false" ht="15" hidden="false" customHeight="false" outlineLevel="0" collapsed="false">
      <c r="A12" s="0" t="s">
        <v>78</v>
      </c>
      <c r="B12" s="1" t="s">
        <v>15</v>
      </c>
      <c r="C12" s="1" t="s">
        <v>40</v>
      </c>
      <c r="D12" s="0" t="n">
        <v>1554</v>
      </c>
      <c r="E12" s="1" t="s">
        <v>116</v>
      </c>
      <c r="F12" s="0" t="n">
        <f aca="false">SUMIFS(출고!$F$2:$F$1167,출고!$B$2:$B$1167,B12,출고!$C$2:$C$1167,C12)/SUMIFS(출고!$D$2:$D$1167,출고!$B$2:$B$1167,B12,출고!$C$2:$C$1167,C12)</f>
        <v>9097.31596828992</v>
      </c>
      <c r="G12" s="0" t="n">
        <f aca="false">D12*F12</f>
        <v>14137229.0147225</v>
      </c>
      <c r="H12" s="0" t="n">
        <f aca="false">INDEX(마스터!$E:$E,MATCH(C12,마스터!$A:$A,0))</f>
        <v>4740</v>
      </c>
      <c r="I12" s="0" t="n">
        <f aca="false">IF(OR(E12="개정판교체",E12="파본"),0,D12*H12)</f>
        <v>7365960</v>
      </c>
    </row>
    <row r="13" customFormat="false" ht="15" hidden="false" customHeight="false" outlineLevel="0" collapsed="false">
      <c r="A13" s="0" t="s">
        <v>78</v>
      </c>
      <c r="B13" s="1" t="s">
        <v>16</v>
      </c>
      <c r="C13" s="1" t="s">
        <v>41</v>
      </c>
      <c r="D13" s="0" t="n">
        <v>884</v>
      </c>
      <c r="E13" s="1" t="s">
        <v>116</v>
      </c>
      <c r="F13" s="0" t="n">
        <f aca="false">SUMIFS(출고!$F$2:$F$1167,출고!$B$2:$B$1167,B13,출고!$C$2:$C$1167,C13)/SUMIFS(출고!$D$2:$D$1167,출고!$B$2:$B$1167,B13,출고!$C$2:$C$1167,C13)</f>
        <v>12005.6088560886</v>
      </c>
      <c r="G13" s="0" t="n">
        <f aca="false">D13*F13</f>
        <v>10612958.2287823</v>
      </c>
      <c r="H13" s="0" t="n">
        <f aca="false">INDEX(마스터!$E:$E,MATCH(C13,마스터!$A:$A,0))</f>
        <v>5480</v>
      </c>
      <c r="I13" s="0" t="n">
        <f aca="false">IF(OR(E13="개정판교체",E13="파본"),0,D13*H13)</f>
        <v>4844320</v>
      </c>
    </row>
    <row r="14" customFormat="false" ht="15" hidden="false" customHeight="false" outlineLevel="0" collapsed="false">
      <c r="A14" s="0" t="s">
        <v>78</v>
      </c>
      <c r="B14" s="1" t="s">
        <v>16</v>
      </c>
      <c r="C14" s="1" t="s">
        <v>42</v>
      </c>
      <c r="D14" s="0" t="n">
        <v>515</v>
      </c>
      <c r="E14" s="1" t="s">
        <v>116</v>
      </c>
      <c r="F14" s="0" t="n">
        <f aca="false">SUMIFS(출고!$F$2:$F$1167,출고!$B$2:$B$1167,B14,출고!$C$2:$C$1167,C14)/SUMIFS(출고!$D$2:$D$1167,출고!$B$2:$B$1167,B14,출고!$C$2:$C$1167,C14)</f>
        <v>13389.3611793612</v>
      </c>
      <c r="G14" s="0" t="n">
        <f aca="false">D14*F14</f>
        <v>6895521.00737101</v>
      </c>
      <c r="H14" s="0" t="n">
        <f aca="false">INDEX(마스터!$E:$E,MATCH(C14,마스터!$A:$A,0))</f>
        <v>6730</v>
      </c>
      <c r="I14" s="0" t="n">
        <f aca="false">IF(OR(E14="개정판교체",E14="파본"),0,D14*H14)</f>
        <v>3465950</v>
      </c>
    </row>
    <row r="15" customFormat="false" ht="15" hidden="false" customHeight="false" outlineLevel="0" collapsed="false">
      <c r="A15" s="0" t="s">
        <v>78</v>
      </c>
      <c r="B15" s="1" t="s">
        <v>16</v>
      </c>
      <c r="C15" s="1" t="s">
        <v>42</v>
      </c>
      <c r="D15" s="0" t="n">
        <v>315</v>
      </c>
      <c r="E15" s="1" t="s">
        <v>118</v>
      </c>
      <c r="F15" s="0" t="n">
        <f aca="false">SUMIFS(출고!$F$2:$F$1167,출고!$B$2:$B$1167,B15,출고!$C$2:$C$1167,C15)/SUMIFS(출고!$D$2:$D$1167,출고!$B$2:$B$1167,B15,출고!$C$2:$C$1167,C15)</f>
        <v>13389.3611793612</v>
      </c>
      <c r="G15" s="0" t="n">
        <f aca="false">D15*F15</f>
        <v>4217648.77149877</v>
      </c>
      <c r="H15" s="0" t="n">
        <f aca="false">INDEX(마스터!$E:$E,MATCH(C15,마스터!$A:$A,0))</f>
        <v>6730</v>
      </c>
      <c r="I15" s="0" t="n">
        <f aca="false">IF(OR(E15="개정판교체",E15="파본"),0,D15*H15)</f>
        <v>0</v>
      </c>
    </row>
    <row r="16" customFormat="false" ht="15" hidden="false" customHeight="false" outlineLevel="0" collapsed="false">
      <c r="A16" s="0" t="s">
        <v>78</v>
      </c>
      <c r="B16" s="1" t="s">
        <v>17</v>
      </c>
      <c r="C16" s="1" t="s">
        <v>47</v>
      </c>
      <c r="D16" s="0" t="n">
        <v>1114</v>
      </c>
      <c r="E16" s="1" t="s">
        <v>117</v>
      </c>
      <c r="F16" s="0" t="n">
        <f aca="false">SUMIFS(출고!$F$2:$F$1167,출고!$B$2:$B$1167,B16,출고!$C$2:$C$1167,C16)/SUMIFS(출고!$D$2:$D$1167,출고!$B$2:$B$1167,B16,출고!$C$2:$C$1167,C16)</f>
        <v>8386.65559982293</v>
      </c>
      <c r="G16" s="0" t="n">
        <f aca="false">D16*F16</f>
        <v>9342734.33820275</v>
      </c>
      <c r="H16" s="0" t="n">
        <f aca="false">INDEX(마스터!$E:$E,MATCH(C16,마스터!$A:$A,0))</f>
        <v>4170</v>
      </c>
      <c r="I16" s="0" t="n">
        <f aca="false">IF(OR(E16="개정판교체",E16="파본"),0,D16*H16)</f>
        <v>4645380</v>
      </c>
    </row>
    <row r="17" customFormat="false" ht="15" hidden="false" customHeight="false" outlineLevel="0" collapsed="false">
      <c r="A17" s="0" t="s">
        <v>78</v>
      </c>
      <c r="B17" s="1" t="s">
        <v>18</v>
      </c>
      <c r="C17" s="1" t="s">
        <v>45</v>
      </c>
      <c r="D17" s="0" t="n">
        <v>512</v>
      </c>
      <c r="E17" s="1" t="s">
        <v>117</v>
      </c>
      <c r="F17" s="0" t="n">
        <f aca="false">SUMIFS(출고!$F$2:$F$1167,출고!$B$2:$B$1167,B17,출고!$C$2:$C$1167,C17)/SUMIFS(출고!$D$2:$D$1167,출고!$B$2:$B$1167,B17,출고!$C$2:$C$1167,C17)</f>
        <v>13034.3858632677</v>
      </c>
      <c r="G17" s="0" t="n">
        <f aca="false">D17*F17</f>
        <v>6673605.56199305</v>
      </c>
      <c r="H17" s="0" t="n">
        <f aca="false">INDEX(마스터!$E:$E,MATCH(C17,마스터!$A:$A,0))</f>
        <v>6110</v>
      </c>
      <c r="I17" s="0" t="n">
        <f aca="false">IF(OR(E17="개정판교체",E17="파본"),0,D17*H17)</f>
        <v>3128320</v>
      </c>
    </row>
    <row r="18" customFormat="false" ht="15" hidden="false" customHeight="false" outlineLevel="0" collapsed="false">
      <c r="A18" s="0" t="s">
        <v>78</v>
      </c>
      <c r="B18" s="1" t="s">
        <v>18</v>
      </c>
      <c r="C18" s="1" t="s">
        <v>58</v>
      </c>
      <c r="D18" s="0" t="n">
        <v>486</v>
      </c>
      <c r="E18" s="1" t="s">
        <v>116</v>
      </c>
      <c r="F18" s="0" t="n">
        <f aca="false">SUMIFS(출고!$F$2:$F$1167,출고!$B$2:$B$1167,B18,출고!$C$2:$C$1167,C18)/SUMIFS(출고!$D$2:$D$1167,출고!$B$2:$B$1167,B18,출고!$C$2:$C$1167,C18)</f>
        <v>12008.6380072318</v>
      </c>
      <c r="G18" s="0" t="n">
        <f aca="false">D18*F18</f>
        <v>5836198.07151467</v>
      </c>
      <c r="H18" s="0" t="n">
        <f aca="false">INDEX(마스터!$E:$E,MATCH(C18,마스터!$A:$A,0))</f>
        <v>5720</v>
      </c>
      <c r="I18" s="0" t="n">
        <f aca="false">IF(OR(E18="개정판교체",E18="파본"),0,D18*H18)</f>
        <v>2779920</v>
      </c>
    </row>
    <row r="19" customFormat="false" ht="15" hidden="false" customHeight="false" outlineLevel="0" collapsed="false">
      <c r="A19" s="0" t="s">
        <v>78</v>
      </c>
      <c r="B19" s="1" t="s">
        <v>18</v>
      </c>
      <c r="C19" s="1" t="s">
        <v>48</v>
      </c>
      <c r="D19" s="0" t="n">
        <v>224</v>
      </c>
      <c r="E19" s="1" t="s">
        <v>116</v>
      </c>
      <c r="F19" s="0" t="n">
        <f aca="false">SUMIFS(출고!$F$2:$F$1167,출고!$B$2:$B$1167,B19,출고!$C$2:$C$1167,C19)/SUMIFS(출고!$D$2:$D$1167,출고!$B$2:$B$1167,B19,출고!$C$2:$C$1167,C19)</f>
        <v>12977.3885573886</v>
      </c>
      <c r="G19" s="0" t="n">
        <f aca="false">D19*F19</f>
        <v>2906935.03685504</v>
      </c>
      <c r="H19" s="0" t="n">
        <f aca="false">INDEX(마스터!$E:$E,MATCH(C19,마스터!$A:$A,0))</f>
        <v>6440</v>
      </c>
      <c r="I19" s="0" t="n">
        <f aca="false">IF(OR(E19="개정판교체",E19="파본"),0,D19*H19)</f>
        <v>1442560</v>
      </c>
    </row>
    <row r="20" customFormat="false" ht="15" hidden="false" customHeight="false" outlineLevel="0" collapsed="false">
      <c r="A20" s="0" t="s">
        <v>78</v>
      </c>
      <c r="B20" s="1" t="s">
        <v>18</v>
      </c>
      <c r="C20" s="1" t="s">
        <v>48</v>
      </c>
      <c r="D20" s="0" t="n">
        <v>191</v>
      </c>
      <c r="E20" s="1" t="s">
        <v>118</v>
      </c>
      <c r="F20" s="0" t="n">
        <f aca="false">SUMIFS(출고!$F$2:$F$1167,출고!$B$2:$B$1167,B20,출고!$C$2:$C$1167,C20)/SUMIFS(출고!$D$2:$D$1167,출고!$B$2:$B$1167,B20,출고!$C$2:$C$1167,C20)</f>
        <v>12977.3885573886</v>
      </c>
      <c r="G20" s="0" t="n">
        <f aca="false">D20*F20</f>
        <v>2478681.21446122</v>
      </c>
      <c r="H20" s="0" t="n">
        <f aca="false">INDEX(마스터!$E:$E,MATCH(C20,마스터!$A:$A,0))</f>
        <v>6440</v>
      </c>
      <c r="I20" s="0" t="n">
        <f aca="false">IF(OR(E20="개정판교체",E20="파본"),0,D20*H20)</f>
        <v>0</v>
      </c>
    </row>
    <row r="21" customFormat="false" ht="15" hidden="false" customHeight="false" outlineLevel="0" collapsed="false">
      <c r="A21" s="0" t="s">
        <v>78</v>
      </c>
      <c r="B21" s="1" t="s">
        <v>18</v>
      </c>
      <c r="C21" s="1" t="s">
        <v>66</v>
      </c>
      <c r="D21" s="0" t="n">
        <v>475</v>
      </c>
      <c r="E21" s="1" t="s">
        <v>116</v>
      </c>
      <c r="F21" s="0" t="n">
        <f aca="false">SUMIFS(출고!$F$2:$F$1167,출고!$B$2:$B$1167,B21,출고!$C$2:$C$1167,C21)/SUMIFS(출고!$D$2:$D$1167,출고!$B$2:$B$1167,B21,출고!$C$2:$C$1167,C21)</f>
        <v>13155.0800519256</v>
      </c>
      <c r="G21" s="0" t="n">
        <f aca="false">D21*F21</f>
        <v>6248663.02466465</v>
      </c>
      <c r="H21" s="0" t="n">
        <f aca="false">INDEX(마스터!$E:$E,MATCH(C21,마스터!$A:$A,0))</f>
        <v>6360</v>
      </c>
      <c r="I21" s="0" t="n">
        <f aca="false">IF(OR(E21="개정판교체",E21="파본"),0,D21*H21)</f>
        <v>3021000</v>
      </c>
    </row>
    <row r="22" customFormat="false" ht="15" hidden="false" customHeight="false" outlineLevel="0" collapsed="false">
      <c r="A22" s="0" t="s">
        <v>78</v>
      </c>
      <c r="B22" s="1" t="s">
        <v>19</v>
      </c>
      <c r="C22" s="1" t="s">
        <v>51</v>
      </c>
      <c r="D22" s="0" t="n">
        <v>601</v>
      </c>
      <c r="E22" s="1" t="s">
        <v>116</v>
      </c>
      <c r="F22" s="0" t="n">
        <f aca="false">SUMIFS(출고!$F$2:$F$1167,출고!$B$2:$B$1167,B22,출고!$C$2:$C$1167,C22)/SUMIFS(출고!$D$2:$D$1167,출고!$B$2:$B$1167,B22,출고!$C$2:$C$1167,C22)</f>
        <v>13293.5286415712</v>
      </c>
      <c r="G22" s="0" t="n">
        <f aca="false">D22*F22</f>
        <v>7989410.71358429</v>
      </c>
      <c r="H22" s="0" t="n">
        <f aca="false">INDEX(마스터!$E:$E,MATCH(C22,마스터!$A:$A,0))</f>
        <v>7480</v>
      </c>
      <c r="I22" s="0" t="n">
        <f aca="false">IF(OR(E22="개정판교체",E22="파본"),0,D22*H22)</f>
        <v>4495480</v>
      </c>
    </row>
    <row r="23" customFormat="false" ht="15" hidden="false" customHeight="false" outlineLevel="0" collapsed="false">
      <c r="A23" s="0" t="s">
        <v>78</v>
      </c>
      <c r="B23" s="1" t="s">
        <v>19</v>
      </c>
      <c r="C23" s="1" t="s">
        <v>51</v>
      </c>
      <c r="D23" s="0" t="n">
        <v>476</v>
      </c>
      <c r="E23" s="1" t="s">
        <v>117</v>
      </c>
      <c r="F23" s="0" t="n">
        <f aca="false">SUMIFS(출고!$F$2:$F$1167,출고!$B$2:$B$1167,B23,출고!$C$2:$C$1167,C23)/SUMIFS(출고!$D$2:$D$1167,출고!$B$2:$B$1167,B23,출고!$C$2:$C$1167,C23)</f>
        <v>13293.5286415712</v>
      </c>
      <c r="G23" s="0" t="n">
        <f aca="false">D23*F23</f>
        <v>6327719.63338789</v>
      </c>
      <c r="H23" s="0" t="n">
        <f aca="false">INDEX(마스터!$E:$E,MATCH(C23,마스터!$A:$A,0))</f>
        <v>7480</v>
      </c>
      <c r="I23" s="0" t="n">
        <f aca="false">IF(OR(E23="개정판교체",E23="파본"),0,D23*H23)</f>
        <v>3560480</v>
      </c>
    </row>
    <row r="24" customFormat="false" ht="15" hidden="false" customHeight="false" outlineLevel="0" collapsed="false">
      <c r="A24" s="0" t="s">
        <v>78</v>
      </c>
      <c r="B24" s="1" t="s">
        <v>19</v>
      </c>
      <c r="C24" s="1" t="s">
        <v>51</v>
      </c>
      <c r="D24" s="0" t="n">
        <v>813</v>
      </c>
      <c r="E24" s="1" t="s">
        <v>118</v>
      </c>
      <c r="F24" s="0" t="n">
        <f aca="false">SUMIFS(출고!$F$2:$F$1167,출고!$B$2:$B$1167,B24,출고!$C$2:$C$1167,C24)/SUMIFS(출고!$D$2:$D$1167,출고!$B$2:$B$1167,B24,출고!$C$2:$C$1167,C24)</f>
        <v>13293.5286415712</v>
      </c>
      <c r="G24" s="0" t="n">
        <f aca="false">D24*F24</f>
        <v>10807638.7855974</v>
      </c>
      <c r="H24" s="0" t="n">
        <f aca="false">INDEX(마스터!$E:$E,MATCH(C24,마스터!$A:$A,0))</f>
        <v>7480</v>
      </c>
      <c r="I24" s="0" t="n">
        <f aca="false">IF(OR(E24="개정판교체",E24="파본"),0,D24*H24)</f>
        <v>0</v>
      </c>
    </row>
    <row r="25" customFormat="false" ht="15" hidden="false" customHeight="false" outlineLevel="0" collapsed="false">
      <c r="A25" s="0" t="s">
        <v>78</v>
      </c>
      <c r="B25" s="1" t="s">
        <v>20</v>
      </c>
      <c r="C25" s="1" t="s">
        <v>47</v>
      </c>
      <c r="D25" s="0" t="n">
        <v>583</v>
      </c>
      <c r="E25" s="1" t="s">
        <v>117</v>
      </c>
      <c r="F25" s="0" t="n">
        <f aca="false">SUMIFS(출고!$F$2:$F$1167,출고!$B$2:$B$1167,B25,출고!$C$2:$C$1167,C25)/SUMIFS(출고!$D$2:$D$1167,출고!$B$2:$B$1167,B25,출고!$C$2:$C$1167,C25)</f>
        <v>9280.94840667678</v>
      </c>
      <c r="G25" s="0" t="n">
        <f aca="false">D25*F25</f>
        <v>5410792.92109257</v>
      </c>
      <c r="H25" s="0" t="n">
        <f aca="false">INDEX(마스터!$E:$E,MATCH(C25,마스터!$A:$A,0))</f>
        <v>4170</v>
      </c>
      <c r="I25" s="0" t="n">
        <f aca="false">IF(OR(E25="개정판교체",E25="파본"),0,D25*H25)</f>
        <v>2431110</v>
      </c>
    </row>
    <row r="26" customFormat="false" ht="15" hidden="false" customHeight="false" outlineLevel="0" collapsed="false">
      <c r="A26" s="0" t="s">
        <v>78</v>
      </c>
      <c r="B26" s="1" t="s">
        <v>21</v>
      </c>
      <c r="C26" s="1" t="s">
        <v>57</v>
      </c>
      <c r="D26" s="0" t="n">
        <v>678</v>
      </c>
      <c r="E26" s="1" t="s">
        <v>116</v>
      </c>
      <c r="F26" s="0" t="n">
        <f aca="false">SUMIFS(출고!$F$2:$F$1167,출고!$B$2:$B$1167,B26,출고!$C$2:$C$1167,C26)/SUMIFS(출고!$D$2:$D$1167,출고!$B$2:$B$1167,B26,출고!$C$2:$C$1167,C26)</f>
        <v>10509.1051995163</v>
      </c>
      <c r="G26" s="0" t="n">
        <f aca="false">D26*F26</f>
        <v>7125173.32527207</v>
      </c>
      <c r="H26" s="0" t="n">
        <f aca="false">INDEX(마스터!$E:$E,MATCH(C26,마스터!$A:$A,0))</f>
        <v>4870</v>
      </c>
      <c r="I26" s="0" t="n">
        <f aca="false">IF(OR(E26="개정판교체",E26="파본"),0,D26*H26)</f>
        <v>3301860</v>
      </c>
    </row>
    <row r="27" customFormat="false" ht="15" hidden="false" customHeight="false" outlineLevel="0" collapsed="false">
      <c r="A27" s="0" t="s">
        <v>78</v>
      </c>
      <c r="B27" s="1" t="s">
        <v>22</v>
      </c>
      <c r="C27" s="1" t="s">
        <v>48</v>
      </c>
      <c r="D27" s="0" t="n">
        <v>204</v>
      </c>
      <c r="E27" s="1" t="s">
        <v>116</v>
      </c>
      <c r="F27" s="0" t="n">
        <f aca="false">SUMIFS(출고!$F$2:$F$1167,출고!$B$2:$B$1167,B27,출고!$C$2:$C$1167,C27)/SUMIFS(출고!$D$2:$D$1167,출고!$B$2:$B$1167,B27,출고!$C$2:$C$1167,C27)</f>
        <v>12977.3781902552</v>
      </c>
      <c r="G27" s="0" t="n">
        <f aca="false">D27*F27</f>
        <v>2647385.15081206</v>
      </c>
      <c r="H27" s="0" t="n">
        <f aca="false">INDEX(마스터!$E:$E,MATCH(C27,마스터!$A:$A,0))</f>
        <v>6440</v>
      </c>
      <c r="I27" s="0" t="n">
        <f aca="false">IF(OR(E27="개정판교체",E27="파본"),0,D27*H27)</f>
        <v>1313760</v>
      </c>
    </row>
    <row r="28" customFormat="false" ht="15" hidden="false" customHeight="false" outlineLevel="0" collapsed="false">
      <c r="A28" s="0" t="s">
        <v>78</v>
      </c>
      <c r="B28" s="1" t="s">
        <v>22</v>
      </c>
      <c r="C28" s="1" t="s">
        <v>48</v>
      </c>
      <c r="D28" s="0" t="n">
        <v>174</v>
      </c>
      <c r="E28" s="1" t="s">
        <v>118</v>
      </c>
      <c r="F28" s="0" t="n">
        <f aca="false">SUMIFS(출고!$F$2:$F$1167,출고!$B$2:$B$1167,B28,출고!$C$2:$C$1167,C28)/SUMIFS(출고!$D$2:$D$1167,출고!$B$2:$B$1167,B28,출고!$C$2:$C$1167,C28)</f>
        <v>12977.3781902552</v>
      </c>
      <c r="G28" s="0" t="n">
        <f aca="false">D28*F28</f>
        <v>2258063.80510441</v>
      </c>
      <c r="H28" s="0" t="n">
        <f aca="false">INDEX(마스터!$E:$E,MATCH(C28,마스터!$A:$A,0))</f>
        <v>6440</v>
      </c>
      <c r="I28" s="0" t="n">
        <f aca="false">IF(OR(E28="개정판교체",E28="파본"),0,D28*H28)</f>
        <v>0</v>
      </c>
    </row>
    <row r="29" customFormat="false" ht="15" hidden="false" customHeight="false" outlineLevel="0" collapsed="false">
      <c r="A29" s="0" t="s">
        <v>78</v>
      </c>
      <c r="B29" s="1" t="s">
        <v>23</v>
      </c>
      <c r="C29" s="1" t="s">
        <v>59</v>
      </c>
      <c r="D29" s="0" t="n">
        <v>759</v>
      </c>
      <c r="E29" s="1" t="s">
        <v>116</v>
      </c>
      <c r="F29" s="0" t="n">
        <f aca="false">SUMIFS(출고!$F$2:$F$1167,출고!$B$2:$B$1167,B29,출고!$C$2:$C$1167,C29)/SUMIFS(출고!$D$2:$D$1167,출고!$B$2:$B$1167,B29,출고!$C$2:$C$1167,C29)</f>
        <v>13950.6813683913</v>
      </c>
      <c r="G29" s="0" t="n">
        <f aca="false">D29*F29</f>
        <v>10588567.158609</v>
      </c>
      <c r="H29" s="0" t="n">
        <f aca="false">INDEX(마스터!$E:$E,MATCH(C29,마스터!$A:$A,0))</f>
        <v>6520</v>
      </c>
      <c r="I29" s="0" t="n">
        <f aca="false">IF(OR(E29="개정판교체",E29="파본"),0,D29*H29)</f>
        <v>4948680</v>
      </c>
    </row>
    <row r="30" customFormat="false" ht="15" hidden="false" customHeight="false" outlineLevel="0" collapsed="false">
      <c r="A30" s="0" t="s">
        <v>78</v>
      </c>
      <c r="B30" s="1" t="s">
        <v>25</v>
      </c>
      <c r="C30" s="1" t="s">
        <v>42</v>
      </c>
      <c r="D30" s="0" t="n">
        <v>327</v>
      </c>
      <c r="E30" s="1" t="s">
        <v>116</v>
      </c>
      <c r="F30" s="0" t="n">
        <f aca="false">SUMIFS(출고!$F$2:$F$1167,출고!$B$2:$B$1167,B30,출고!$C$2:$C$1167,C30)/SUMIFS(출고!$D$2:$D$1167,출고!$B$2:$B$1167,B30,출고!$C$2:$C$1167,C30)</f>
        <v>13298.6330935252</v>
      </c>
      <c r="G30" s="0" t="n">
        <f aca="false">D30*F30</f>
        <v>4348653.02158273</v>
      </c>
      <c r="H30" s="0" t="n">
        <f aca="false">INDEX(마스터!$E:$E,MATCH(C30,마스터!$A:$A,0))</f>
        <v>6730</v>
      </c>
      <c r="I30" s="0" t="n">
        <f aca="false">IF(OR(E30="개정판교체",E30="파본"),0,D30*H30)</f>
        <v>2200710</v>
      </c>
    </row>
    <row r="31" customFormat="false" ht="15" hidden="false" customHeight="false" outlineLevel="0" collapsed="false">
      <c r="A31" s="0" t="s">
        <v>78</v>
      </c>
      <c r="B31" s="1" t="s">
        <v>25</v>
      </c>
      <c r="C31" s="1" t="s">
        <v>42</v>
      </c>
      <c r="D31" s="0" t="n">
        <v>201</v>
      </c>
      <c r="E31" s="1" t="s">
        <v>118</v>
      </c>
      <c r="F31" s="0" t="n">
        <f aca="false">SUMIFS(출고!$F$2:$F$1167,출고!$B$2:$B$1167,B31,출고!$C$2:$C$1167,C31)/SUMIFS(출고!$D$2:$D$1167,출고!$B$2:$B$1167,B31,출고!$C$2:$C$1167,C31)</f>
        <v>13298.6330935252</v>
      </c>
      <c r="G31" s="0" t="n">
        <f aca="false">D31*F31</f>
        <v>2673025.25179856</v>
      </c>
      <c r="H31" s="0" t="n">
        <f aca="false">INDEX(마스터!$E:$E,MATCH(C31,마스터!$A:$A,0))</f>
        <v>6730</v>
      </c>
      <c r="I31" s="0" t="n">
        <f aca="false">IF(OR(E31="개정판교체",E31="파본"),0,D31*H31)</f>
        <v>0</v>
      </c>
    </row>
    <row r="32" customFormat="false" ht="15" hidden="false" customHeight="false" outlineLevel="0" collapsed="false">
      <c r="A32" s="0" t="s">
        <v>78</v>
      </c>
      <c r="B32" s="1" t="s">
        <v>24</v>
      </c>
      <c r="C32" s="1" t="s">
        <v>61</v>
      </c>
      <c r="D32" s="0" t="n">
        <v>295</v>
      </c>
      <c r="E32" s="1" t="s">
        <v>116</v>
      </c>
      <c r="F32" s="0" t="n">
        <f aca="false">SUMIFS(출고!$F$2:$F$1167,출고!$B$2:$B$1167,B32,출고!$C$2:$C$1167,C32)/SUMIFS(출고!$D$2:$D$1167,출고!$B$2:$B$1167,B32,출고!$C$2:$C$1167,C32)</f>
        <v>10875.7341576507</v>
      </c>
      <c r="G32" s="0" t="n">
        <f aca="false">D32*F32</f>
        <v>3208341.57650696</v>
      </c>
      <c r="H32" s="0" t="n">
        <f aca="false">INDEX(마스터!$E:$E,MATCH(C32,마스터!$A:$A,0))</f>
        <v>5390</v>
      </c>
      <c r="I32" s="0" t="n">
        <f aca="false">IF(OR(E32="개정판교체",E32="파본"),0,D32*H32)</f>
        <v>1590050</v>
      </c>
    </row>
    <row r="33" customFormat="false" ht="15" hidden="false" customHeight="false" outlineLevel="0" collapsed="false">
      <c r="A33" s="0" t="s">
        <v>84</v>
      </c>
      <c r="B33" s="1" t="s">
        <v>14</v>
      </c>
      <c r="C33" s="1" t="s">
        <v>74</v>
      </c>
      <c r="D33" s="0" t="n">
        <v>3698</v>
      </c>
      <c r="E33" s="1" t="s">
        <v>116</v>
      </c>
      <c r="F33" s="0" t="n">
        <f aca="false">SUMIFS(출고!$F$2:$F$1167,출고!$B$2:$B$1167,B33,출고!$C$2:$C$1167,C33)/SUMIFS(출고!$D$2:$D$1167,출고!$B$2:$B$1167,B33,출고!$C$2:$C$1167,C33)</f>
        <v>10957.1108263933</v>
      </c>
      <c r="G33" s="0" t="n">
        <f aca="false">D33*F33</f>
        <v>40519395.8360026</v>
      </c>
      <c r="H33" s="0" t="n">
        <f aca="false">INDEX(마스터!$E:$E,MATCH(C33,마스터!$A:$A,0))</f>
        <v>5400</v>
      </c>
      <c r="I33" s="0" t="n">
        <f aca="false">IF(OR(E33="개정판교체",E33="파본"),0,D33*H33)</f>
        <v>19969200</v>
      </c>
    </row>
    <row r="34" customFormat="false" ht="15" hidden="false" customHeight="false" outlineLevel="0" collapsed="false">
      <c r="A34" s="0" t="s">
        <v>84</v>
      </c>
      <c r="B34" s="1" t="s">
        <v>14</v>
      </c>
      <c r="C34" s="1" t="s">
        <v>38</v>
      </c>
      <c r="D34" s="0" t="n">
        <v>4141</v>
      </c>
      <c r="E34" s="1" t="s">
        <v>116</v>
      </c>
      <c r="F34" s="0" t="n">
        <f aca="false">SUMIFS(출고!$F$2:$F$1167,출고!$B$2:$B$1167,B34,출고!$C$2:$C$1167,C34)/SUMIFS(출고!$D$2:$D$1167,출고!$B$2:$B$1167,B34,출고!$C$2:$C$1167,C34)</f>
        <v>11280.897005988</v>
      </c>
      <c r="G34" s="0" t="n">
        <f aca="false">D34*F34</f>
        <v>46714194.5017964</v>
      </c>
      <c r="H34" s="0" t="n">
        <f aca="false">INDEX(마스터!$E:$E,MATCH(C34,마스터!$A:$A,0))</f>
        <v>5670</v>
      </c>
      <c r="I34" s="0" t="n">
        <f aca="false">IF(OR(E34="개정판교체",E34="파본"),0,D34*H34)</f>
        <v>23479470</v>
      </c>
    </row>
    <row r="35" customFormat="false" ht="15" hidden="false" customHeight="false" outlineLevel="0" collapsed="false">
      <c r="A35" s="0" t="s">
        <v>84</v>
      </c>
      <c r="B35" s="1" t="s">
        <v>14</v>
      </c>
      <c r="C35" s="1" t="s">
        <v>38</v>
      </c>
      <c r="D35" s="0" t="n">
        <v>2761</v>
      </c>
      <c r="E35" s="1" t="s">
        <v>119</v>
      </c>
      <c r="F35" s="0" t="n">
        <f aca="false">SUMIFS(출고!$F$2:$F$1167,출고!$B$2:$B$1167,B35,출고!$C$2:$C$1167,C35)/SUMIFS(출고!$D$2:$D$1167,출고!$B$2:$B$1167,B35,출고!$C$2:$C$1167,C35)</f>
        <v>11280.897005988</v>
      </c>
      <c r="G35" s="0" t="n">
        <f aca="false">D35*F35</f>
        <v>31146556.6335329</v>
      </c>
      <c r="H35" s="0" t="n">
        <f aca="false">INDEX(마스터!$E:$E,MATCH(C35,마스터!$A:$A,0))</f>
        <v>5670</v>
      </c>
      <c r="I35" s="0" t="n">
        <f aca="false">IF(OR(E35="개정판교체",E35="파본"),0,D35*H35)</f>
        <v>15654870</v>
      </c>
    </row>
    <row r="36" customFormat="false" ht="15" hidden="false" customHeight="false" outlineLevel="0" collapsed="false">
      <c r="A36" s="0" t="s">
        <v>84</v>
      </c>
      <c r="B36" s="1" t="s">
        <v>14</v>
      </c>
      <c r="C36" s="1" t="s">
        <v>63</v>
      </c>
      <c r="D36" s="0" t="n">
        <v>2868</v>
      </c>
      <c r="E36" s="1" t="s">
        <v>117</v>
      </c>
      <c r="F36" s="0" t="n">
        <f aca="false">SUMIFS(출고!$F$2:$F$1167,출고!$B$2:$B$1167,B36,출고!$C$2:$C$1167,C36)/SUMIFS(출고!$D$2:$D$1167,출고!$B$2:$B$1167,B36,출고!$C$2:$C$1167,C36)</f>
        <v>10640</v>
      </c>
      <c r="G36" s="0" t="n">
        <f aca="false">D36*F36</f>
        <v>30515520</v>
      </c>
      <c r="H36" s="0" t="n">
        <f aca="false">INDEX(마스터!$E:$E,MATCH(C36,마스터!$A:$A,0))</f>
        <v>5290</v>
      </c>
      <c r="I36" s="0" t="n">
        <f aca="false">IF(OR(E36="개정판교체",E36="파본"),0,D36*H36)</f>
        <v>15171720</v>
      </c>
    </row>
    <row r="37" customFormat="false" ht="15" hidden="false" customHeight="false" outlineLevel="0" collapsed="false">
      <c r="A37" s="0" t="s">
        <v>84</v>
      </c>
      <c r="B37" s="1" t="s">
        <v>14</v>
      </c>
      <c r="C37" s="1" t="s">
        <v>64</v>
      </c>
      <c r="D37" s="0" t="n">
        <v>1985</v>
      </c>
      <c r="E37" s="1" t="s">
        <v>116</v>
      </c>
      <c r="F37" s="0" t="n">
        <f aca="false">SUMIFS(출고!$F$2:$F$1167,출고!$B$2:$B$1167,B37,출고!$C$2:$C$1167,C37)/SUMIFS(출고!$D$2:$D$1167,출고!$B$2:$B$1167,B37,출고!$C$2:$C$1167,C37)</f>
        <v>11604.5443349754</v>
      </c>
      <c r="G37" s="0" t="n">
        <f aca="false">D37*F37</f>
        <v>23035020.5049261</v>
      </c>
      <c r="H37" s="0" t="n">
        <f aca="false">INDEX(마스터!$E:$E,MATCH(C37,마스터!$A:$A,0))</f>
        <v>5890</v>
      </c>
      <c r="I37" s="0" t="n">
        <f aca="false">IF(OR(E37="개정판교체",E37="파본"),0,D37*H37)</f>
        <v>11691650</v>
      </c>
    </row>
    <row r="38" customFormat="false" ht="15" hidden="false" customHeight="false" outlineLevel="0" collapsed="false">
      <c r="A38" s="0" t="s">
        <v>84</v>
      </c>
      <c r="B38" s="1" t="s">
        <v>14</v>
      </c>
      <c r="C38" s="1" t="s">
        <v>64</v>
      </c>
      <c r="D38" s="0" t="n">
        <v>1379</v>
      </c>
      <c r="E38" s="1" t="s">
        <v>118</v>
      </c>
      <c r="F38" s="0" t="n">
        <f aca="false">SUMIFS(출고!$F$2:$F$1167,출고!$B$2:$B$1167,B38,출고!$C$2:$C$1167,C38)/SUMIFS(출고!$D$2:$D$1167,출고!$B$2:$B$1167,B38,출고!$C$2:$C$1167,C38)</f>
        <v>11604.5443349754</v>
      </c>
      <c r="G38" s="0" t="n">
        <f aca="false">D38*F38</f>
        <v>16002666.637931</v>
      </c>
      <c r="H38" s="0" t="n">
        <f aca="false">INDEX(마스터!$E:$E,MATCH(C38,마스터!$A:$A,0))</f>
        <v>5890</v>
      </c>
      <c r="I38" s="0" t="n">
        <f aca="false">IF(OR(E38="개정판교체",E38="파본"),0,D38*H38)</f>
        <v>0</v>
      </c>
    </row>
    <row r="39" customFormat="false" ht="15" hidden="false" customHeight="false" outlineLevel="0" collapsed="false">
      <c r="A39" s="0" t="s">
        <v>84</v>
      </c>
      <c r="B39" s="1" t="s">
        <v>14</v>
      </c>
      <c r="C39" s="1" t="s">
        <v>48</v>
      </c>
      <c r="D39" s="0" t="n">
        <v>1977</v>
      </c>
      <c r="E39" s="1" t="s">
        <v>117</v>
      </c>
      <c r="F39" s="0" t="n">
        <f aca="false">SUMIFS(출고!$F$2:$F$1167,출고!$B$2:$B$1167,B39,출고!$C$2:$C$1167,C39)/SUMIFS(출고!$D$2:$D$1167,출고!$B$2:$B$1167,B39,출고!$C$2:$C$1167,C39)</f>
        <v>11921.7601459188</v>
      </c>
      <c r="G39" s="0" t="n">
        <f aca="false">D39*F39</f>
        <v>23569319.8084815</v>
      </c>
      <c r="H39" s="0" t="n">
        <f aca="false">INDEX(마스터!$E:$E,MATCH(C39,마스터!$A:$A,0))</f>
        <v>6440</v>
      </c>
      <c r="I39" s="0" t="n">
        <f aca="false">IF(OR(E39="개정판교체",E39="파본"),0,D39*H39)</f>
        <v>12731880</v>
      </c>
    </row>
    <row r="40" customFormat="false" ht="15" hidden="false" customHeight="false" outlineLevel="0" collapsed="false">
      <c r="A40" s="0" t="s">
        <v>84</v>
      </c>
      <c r="B40" s="1" t="s">
        <v>14</v>
      </c>
      <c r="C40" s="1" t="s">
        <v>48</v>
      </c>
      <c r="D40" s="0" t="n">
        <v>1684</v>
      </c>
      <c r="E40" s="1" t="s">
        <v>118</v>
      </c>
      <c r="F40" s="0" t="n">
        <f aca="false">SUMIFS(출고!$F$2:$F$1167,출고!$B$2:$B$1167,B40,출고!$C$2:$C$1167,C40)/SUMIFS(출고!$D$2:$D$1167,출고!$B$2:$B$1167,B40,출고!$C$2:$C$1167,C40)</f>
        <v>11921.7601459188</v>
      </c>
      <c r="G40" s="0" t="n">
        <f aca="false">D40*F40</f>
        <v>20076244.0857273</v>
      </c>
      <c r="H40" s="0" t="n">
        <f aca="false">INDEX(마스터!$E:$E,MATCH(C40,마스터!$A:$A,0))</f>
        <v>6440</v>
      </c>
      <c r="I40" s="0" t="n">
        <f aca="false">IF(OR(E40="개정판교체",E40="파본"),0,D40*H40)</f>
        <v>0</v>
      </c>
    </row>
    <row r="41" customFormat="false" ht="15" hidden="false" customHeight="false" outlineLevel="0" collapsed="false">
      <c r="A41" s="0" t="s">
        <v>84</v>
      </c>
      <c r="B41" s="1" t="s">
        <v>15</v>
      </c>
      <c r="C41" s="1" t="s">
        <v>38</v>
      </c>
      <c r="D41" s="0" t="n">
        <v>758</v>
      </c>
      <c r="E41" s="1" t="s">
        <v>118</v>
      </c>
      <c r="F41" s="0" t="n">
        <f aca="false">SUMIFS(출고!$F$2:$F$1167,출고!$B$2:$B$1167,B41,출고!$C$2:$C$1167,C41)/SUMIFS(출고!$D$2:$D$1167,출고!$B$2:$B$1167,B41,출고!$C$2:$C$1167,C41)</f>
        <v>11377.4589032501</v>
      </c>
      <c r="G41" s="0" t="n">
        <f aca="false">D41*F41</f>
        <v>8624113.84866357</v>
      </c>
      <c r="H41" s="0" t="n">
        <f aca="false">INDEX(마스터!$E:$E,MATCH(C41,마스터!$A:$A,0))</f>
        <v>5670</v>
      </c>
      <c r="I41" s="0" t="n">
        <f aca="false">IF(OR(E41="개정판교체",E41="파본"),0,D41*H41)</f>
        <v>0</v>
      </c>
    </row>
    <row r="42" customFormat="false" ht="15" hidden="false" customHeight="false" outlineLevel="0" collapsed="false">
      <c r="A42" s="0" t="s">
        <v>84</v>
      </c>
      <c r="B42" s="1" t="s">
        <v>15</v>
      </c>
      <c r="C42" s="1" t="s">
        <v>41</v>
      </c>
      <c r="D42" s="0" t="n">
        <v>795</v>
      </c>
      <c r="E42" s="1" t="s">
        <v>116</v>
      </c>
      <c r="F42" s="0" t="n">
        <f aca="false">SUMIFS(출고!$F$2:$F$1167,출고!$B$2:$B$1167,B42,출고!$C$2:$C$1167,C42)/SUMIFS(출고!$D$2:$D$1167,출고!$B$2:$B$1167,B42,출고!$C$2:$C$1167,C42)</f>
        <v>11054.3527392362</v>
      </c>
      <c r="G42" s="0" t="n">
        <f aca="false">D42*F42</f>
        <v>8788210.42769275</v>
      </c>
      <c r="H42" s="0" t="n">
        <f aca="false">INDEX(마스터!$E:$E,MATCH(C42,마스터!$A:$A,0))</f>
        <v>5480</v>
      </c>
      <c r="I42" s="0" t="n">
        <f aca="false">IF(OR(E42="개정판교체",E42="파본"),0,D42*H42)</f>
        <v>4356600</v>
      </c>
    </row>
    <row r="43" customFormat="false" ht="15" hidden="false" customHeight="false" outlineLevel="0" collapsed="false">
      <c r="A43" s="0" t="s">
        <v>84</v>
      </c>
      <c r="B43" s="1" t="s">
        <v>15</v>
      </c>
      <c r="C43" s="1" t="s">
        <v>34</v>
      </c>
      <c r="D43" s="0" t="n">
        <v>461</v>
      </c>
      <c r="E43" s="1" t="s">
        <v>116</v>
      </c>
      <c r="F43" s="0" t="n">
        <f aca="false">SUMIFS(출고!$F$2:$F$1167,출고!$B$2:$B$1167,B43,출고!$C$2:$C$1167,C43)/SUMIFS(출고!$D$2:$D$1167,출고!$B$2:$B$1167,B43,출고!$C$2:$C$1167,C43)</f>
        <v>12027.7838899804</v>
      </c>
      <c r="G43" s="0" t="n">
        <f aca="false">D43*F43</f>
        <v>5544808.37328094</v>
      </c>
      <c r="H43" s="0" t="n">
        <f aca="false">INDEX(마스터!$E:$E,MATCH(C43,마스터!$A:$A,0))</f>
        <v>6630</v>
      </c>
      <c r="I43" s="0" t="n">
        <f aca="false">IF(OR(E43="개정판교체",E43="파본"),0,D43*H43)</f>
        <v>3056430</v>
      </c>
    </row>
    <row r="44" customFormat="false" ht="15" hidden="false" customHeight="false" outlineLevel="0" collapsed="false">
      <c r="A44" s="0" t="s">
        <v>84</v>
      </c>
      <c r="B44" s="1" t="s">
        <v>15</v>
      </c>
      <c r="C44" s="1" t="s">
        <v>34</v>
      </c>
      <c r="D44" s="0" t="n">
        <v>362</v>
      </c>
      <c r="E44" s="1" t="s">
        <v>118</v>
      </c>
      <c r="F44" s="0" t="n">
        <f aca="false">SUMIFS(출고!$F$2:$F$1167,출고!$B$2:$B$1167,B44,출고!$C$2:$C$1167,C44)/SUMIFS(출고!$D$2:$D$1167,출고!$B$2:$B$1167,B44,출고!$C$2:$C$1167,C44)</f>
        <v>12027.7838899804</v>
      </c>
      <c r="G44" s="0" t="n">
        <f aca="false">D44*F44</f>
        <v>4354057.76817289</v>
      </c>
      <c r="H44" s="0" t="n">
        <f aca="false">INDEX(마스터!$E:$E,MATCH(C44,마스터!$A:$A,0))</f>
        <v>6630</v>
      </c>
      <c r="I44" s="0" t="n">
        <f aca="false">IF(OR(E44="개정판교체",E44="파본"),0,D44*H44)</f>
        <v>0</v>
      </c>
    </row>
    <row r="45" customFormat="false" ht="15" hidden="false" customHeight="false" outlineLevel="0" collapsed="false">
      <c r="A45" s="0" t="s">
        <v>84</v>
      </c>
      <c r="B45" s="1" t="s">
        <v>15</v>
      </c>
      <c r="C45" s="1" t="s">
        <v>48</v>
      </c>
      <c r="D45" s="0" t="n">
        <v>532</v>
      </c>
      <c r="E45" s="1" t="s">
        <v>119</v>
      </c>
      <c r="F45" s="0" t="n">
        <f aca="false">SUMIFS(출고!$F$2:$F$1167,출고!$B$2:$B$1167,B45,출고!$C$2:$C$1167,C45)/SUMIFS(출고!$D$2:$D$1167,출고!$B$2:$B$1167,B45,출고!$C$2:$C$1167,C45)</f>
        <v>12033.9746597841</v>
      </c>
      <c r="G45" s="0" t="n">
        <f aca="false">D45*F45</f>
        <v>6402074.51900516</v>
      </c>
      <c r="H45" s="0" t="n">
        <f aca="false">INDEX(마스터!$E:$E,MATCH(C45,마스터!$A:$A,0))</f>
        <v>6440</v>
      </c>
      <c r="I45" s="0" t="n">
        <f aca="false">IF(OR(E45="개정판교체",E45="파본"),0,D45*H45)</f>
        <v>3426080</v>
      </c>
    </row>
    <row r="46" customFormat="false" ht="15" hidden="false" customHeight="false" outlineLevel="0" collapsed="false">
      <c r="A46" s="0" t="s">
        <v>84</v>
      </c>
      <c r="B46" s="1" t="s">
        <v>15</v>
      </c>
      <c r="C46" s="1" t="s">
        <v>48</v>
      </c>
      <c r="D46" s="0" t="n">
        <v>447</v>
      </c>
      <c r="E46" s="1" t="s">
        <v>117</v>
      </c>
      <c r="F46" s="0" t="n">
        <f aca="false">SUMIFS(출고!$F$2:$F$1167,출고!$B$2:$B$1167,B46,출고!$C$2:$C$1167,C46)/SUMIFS(출고!$D$2:$D$1167,출고!$B$2:$B$1167,B46,출고!$C$2:$C$1167,C46)</f>
        <v>12033.9746597841</v>
      </c>
      <c r="G46" s="0" t="n">
        <f aca="false">D46*F46</f>
        <v>5379186.67292351</v>
      </c>
      <c r="H46" s="0" t="n">
        <f aca="false">INDEX(마스터!$E:$E,MATCH(C46,마스터!$A:$A,0))</f>
        <v>6440</v>
      </c>
      <c r="I46" s="0" t="n">
        <f aca="false">IF(OR(E46="개정판교체",E46="파본"),0,D46*H46)</f>
        <v>2878680</v>
      </c>
    </row>
    <row r="47" customFormat="false" ht="15" hidden="false" customHeight="false" outlineLevel="0" collapsed="false">
      <c r="A47" s="0" t="s">
        <v>84</v>
      </c>
      <c r="B47" s="1" t="s">
        <v>15</v>
      </c>
      <c r="C47" s="1" t="s">
        <v>48</v>
      </c>
      <c r="D47" s="0" t="n">
        <v>834</v>
      </c>
      <c r="E47" s="1" t="s">
        <v>118</v>
      </c>
      <c r="F47" s="0" t="n">
        <f aca="false">SUMIFS(출고!$F$2:$F$1167,출고!$B$2:$B$1167,B47,출고!$C$2:$C$1167,C47)/SUMIFS(출고!$D$2:$D$1167,출고!$B$2:$B$1167,B47,출고!$C$2:$C$1167,C47)</f>
        <v>12033.9746597841</v>
      </c>
      <c r="G47" s="0" t="n">
        <f aca="false">D47*F47</f>
        <v>10036334.86626</v>
      </c>
      <c r="H47" s="0" t="n">
        <f aca="false">INDEX(마스터!$E:$E,MATCH(C47,마스터!$A:$A,0))</f>
        <v>6440</v>
      </c>
      <c r="I47" s="0" t="n">
        <f aca="false">IF(OR(E47="개정판교체",E47="파본"),0,D47*H47)</f>
        <v>0</v>
      </c>
    </row>
    <row r="48" customFormat="false" ht="15" hidden="false" customHeight="false" outlineLevel="0" collapsed="false">
      <c r="A48" s="0" t="s">
        <v>84</v>
      </c>
      <c r="B48" s="1" t="s">
        <v>15</v>
      </c>
      <c r="C48" s="1" t="s">
        <v>66</v>
      </c>
      <c r="D48" s="0" t="n">
        <v>1048</v>
      </c>
      <c r="E48" s="1" t="s">
        <v>118</v>
      </c>
      <c r="F48" s="0" t="n">
        <f aca="false">SUMIFS(출고!$F$2:$F$1167,출고!$B$2:$B$1167,B48,출고!$C$2:$C$1167,C48)/SUMIFS(출고!$D$2:$D$1167,출고!$B$2:$B$1167,B48,출고!$C$2:$C$1167,C48)</f>
        <v>12030.3590777372</v>
      </c>
      <c r="G48" s="0" t="n">
        <f aca="false">D48*F48</f>
        <v>12607816.3134686</v>
      </c>
      <c r="H48" s="0" t="n">
        <f aca="false">INDEX(마스터!$E:$E,MATCH(C48,마스터!$A:$A,0))</f>
        <v>6360</v>
      </c>
      <c r="I48" s="0" t="n">
        <f aca="false">IF(OR(E48="개정판교체",E48="파본"),0,D48*H48)</f>
        <v>0</v>
      </c>
    </row>
    <row r="49" customFormat="false" ht="15" hidden="false" customHeight="false" outlineLevel="0" collapsed="false">
      <c r="A49" s="0" t="s">
        <v>84</v>
      </c>
      <c r="B49" s="1" t="s">
        <v>16</v>
      </c>
      <c r="C49" s="1" t="s">
        <v>41</v>
      </c>
      <c r="D49" s="0" t="n">
        <v>644</v>
      </c>
      <c r="E49" s="1" t="s">
        <v>117</v>
      </c>
      <c r="F49" s="0" t="n">
        <f aca="false">SUMIFS(출고!$F$2:$F$1167,출고!$B$2:$B$1167,B49,출고!$C$2:$C$1167,C49)/SUMIFS(출고!$D$2:$D$1167,출고!$B$2:$B$1167,B49,출고!$C$2:$C$1167,C49)</f>
        <v>12005.6088560886</v>
      </c>
      <c r="G49" s="0" t="n">
        <f aca="false">D49*F49</f>
        <v>7731612.10332103</v>
      </c>
      <c r="H49" s="0" t="n">
        <f aca="false">INDEX(마스터!$E:$E,MATCH(C49,마스터!$A:$A,0))</f>
        <v>5480</v>
      </c>
      <c r="I49" s="0" t="n">
        <f aca="false">IF(OR(E49="개정판교체",E49="파본"),0,D49*H49)</f>
        <v>3529120</v>
      </c>
    </row>
    <row r="50" customFormat="false" ht="15" hidden="false" customHeight="false" outlineLevel="0" collapsed="false">
      <c r="A50" s="0" t="s">
        <v>84</v>
      </c>
      <c r="B50" s="1" t="s">
        <v>16</v>
      </c>
      <c r="C50" s="1" t="s">
        <v>36</v>
      </c>
      <c r="D50" s="0" t="n">
        <v>614</v>
      </c>
      <c r="E50" s="1" t="s">
        <v>116</v>
      </c>
      <c r="F50" s="0" t="n">
        <f aca="false">SUMIFS(출고!$F$2:$F$1167,출고!$B$2:$B$1167,B50,출고!$C$2:$C$1167,C50)/SUMIFS(출고!$D$2:$D$1167,출고!$B$2:$B$1167,B50,출고!$C$2:$C$1167,C50)</f>
        <v>10276.1189099917</v>
      </c>
      <c r="G50" s="0" t="n">
        <f aca="false">D50*F50</f>
        <v>6309537.01073493</v>
      </c>
      <c r="H50" s="0" t="n">
        <f aca="false">INDEX(마스터!$E:$E,MATCH(C50,마스터!$A:$A,0))</f>
        <v>4540</v>
      </c>
      <c r="I50" s="0" t="n">
        <f aca="false">IF(OR(E50="개정판교체",E50="파본"),0,D50*H50)</f>
        <v>2787560</v>
      </c>
    </row>
    <row r="51" customFormat="false" ht="15" hidden="false" customHeight="false" outlineLevel="0" collapsed="false">
      <c r="A51" s="0" t="s">
        <v>84</v>
      </c>
      <c r="B51" s="1" t="s">
        <v>16</v>
      </c>
      <c r="C51" s="1" t="s">
        <v>68</v>
      </c>
      <c r="D51" s="0" t="n">
        <v>718</v>
      </c>
      <c r="E51" s="1" t="s">
        <v>116</v>
      </c>
      <c r="F51" s="0" t="n">
        <f aca="false">SUMIFS(출고!$F$2:$F$1167,출고!$B$2:$B$1167,B51,출고!$C$2:$C$1167,C51)/SUMIFS(출고!$D$2:$D$1167,출고!$B$2:$B$1167,B51,출고!$C$2:$C$1167,C51)</f>
        <v>10624.7078003511</v>
      </c>
      <c r="G51" s="0" t="n">
        <f aca="false">D51*F51</f>
        <v>7628540.20065212</v>
      </c>
      <c r="H51" s="0" t="n">
        <f aca="false">INDEX(마스터!$E:$E,MATCH(C51,마스터!$A:$A,0))</f>
        <v>4880</v>
      </c>
      <c r="I51" s="0" t="n">
        <f aca="false">IF(OR(E51="개정판교체",E51="파본"),0,D51*H51)</f>
        <v>3503840</v>
      </c>
    </row>
    <row r="52" customFormat="false" ht="15" hidden="false" customHeight="false" outlineLevel="0" collapsed="false">
      <c r="A52" s="0" t="s">
        <v>84</v>
      </c>
      <c r="B52" s="1" t="s">
        <v>17</v>
      </c>
      <c r="C52" s="1" t="s">
        <v>38</v>
      </c>
      <c r="D52" s="0" t="n">
        <v>1026</v>
      </c>
      <c r="E52" s="1" t="s">
        <v>116</v>
      </c>
      <c r="F52" s="0" t="n">
        <f aca="false">SUMIFS(출고!$F$2:$F$1167,출고!$B$2:$B$1167,B52,출고!$C$2:$C$1167,C52)/SUMIFS(출고!$D$2:$D$1167,출고!$B$2:$B$1167,B52,출고!$C$2:$C$1167,C52)</f>
        <v>11290.7279191617</v>
      </c>
      <c r="G52" s="0" t="n">
        <f aca="false">D52*F52</f>
        <v>11584286.8450599</v>
      </c>
      <c r="H52" s="0" t="n">
        <f aca="false">INDEX(마스터!$E:$E,MATCH(C52,마스터!$A:$A,0))</f>
        <v>5670</v>
      </c>
      <c r="I52" s="0" t="n">
        <f aca="false">IF(OR(E52="개정판교체",E52="파본"),0,D52*H52)</f>
        <v>5817420</v>
      </c>
    </row>
    <row r="53" customFormat="false" ht="15" hidden="false" customHeight="false" outlineLevel="0" collapsed="false">
      <c r="A53" s="0" t="s">
        <v>84</v>
      </c>
      <c r="B53" s="1" t="s">
        <v>17</v>
      </c>
      <c r="C53" s="1" t="s">
        <v>63</v>
      </c>
      <c r="D53" s="0" t="n">
        <v>1180</v>
      </c>
      <c r="E53" s="1" t="s">
        <v>116</v>
      </c>
      <c r="F53" s="0" t="n">
        <f aca="false">SUMIFS(출고!$F$2:$F$1167,출고!$B$2:$B$1167,B53,출고!$C$2:$C$1167,C53)/SUMIFS(출고!$D$2:$D$1167,출고!$B$2:$B$1167,B53,출고!$C$2:$C$1167,C53)</f>
        <v>10642.9993618379</v>
      </c>
      <c r="G53" s="0" t="n">
        <f aca="false">D53*F53</f>
        <v>12558739.2469687</v>
      </c>
      <c r="H53" s="0" t="n">
        <f aca="false">INDEX(마스터!$E:$E,MATCH(C53,마스터!$A:$A,0))</f>
        <v>5290</v>
      </c>
      <c r="I53" s="0" t="n">
        <f aca="false">IF(OR(E53="개정판교체",E53="파본"),0,D53*H53)</f>
        <v>6242200</v>
      </c>
    </row>
    <row r="54" customFormat="false" ht="15" hidden="false" customHeight="false" outlineLevel="0" collapsed="false">
      <c r="A54" s="0" t="s">
        <v>84</v>
      </c>
      <c r="B54" s="1" t="s">
        <v>17</v>
      </c>
      <c r="C54" s="1" t="s">
        <v>33</v>
      </c>
      <c r="D54" s="0" t="n">
        <v>1383</v>
      </c>
      <c r="E54" s="1" t="s">
        <v>116</v>
      </c>
      <c r="F54" s="0" t="n">
        <f aca="false">SUMIFS(출고!$F$2:$F$1167,출고!$B$2:$B$1167,B54,출고!$C$2:$C$1167,C54)/SUMIFS(출고!$D$2:$D$1167,출고!$B$2:$B$1167,B54,출고!$C$2:$C$1167,C54)</f>
        <v>12257.3281308064</v>
      </c>
      <c r="G54" s="0" t="n">
        <f aca="false">D54*F54</f>
        <v>16951884.8049052</v>
      </c>
      <c r="H54" s="0" t="n">
        <f aca="false">INDEX(마스터!$E:$E,MATCH(C54,마스터!$A:$A,0))</f>
        <v>6790</v>
      </c>
      <c r="I54" s="0" t="n">
        <f aca="false">IF(OR(E54="개정판교체",E54="파본"),0,D54*H54)</f>
        <v>9390570</v>
      </c>
    </row>
    <row r="55" customFormat="false" ht="15" hidden="false" customHeight="false" outlineLevel="0" collapsed="false">
      <c r="A55" s="0" t="s">
        <v>84</v>
      </c>
      <c r="B55" s="1" t="s">
        <v>18</v>
      </c>
      <c r="C55" s="1" t="s">
        <v>45</v>
      </c>
      <c r="D55" s="0" t="n">
        <v>718</v>
      </c>
      <c r="E55" s="1" t="s">
        <v>116</v>
      </c>
      <c r="F55" s="0" t="n">
        <f aca="false">SUMIFS(출고!$F$2:$F$1167,출고!$B$2:$B$1167,B55,출고!$C$2:$C$1167,C55)/SUMIFS(출고!$D$2:$D$1167,출고!$B$2:$B$1167,B55,출고!$C$2:$C$1167,C55)</f>
        <v>13034.3858632677</v>
      </c>
      <c r="G55" s="0" t="n">
        <f aca="false">D55*F55</f>
        <v>9358689.04982619</v>
      </c>
      <c r="H55" s="0" t="n">
        <f aca="false">INDEX(마스터!$E:$E,MATCH(C55,마스터!$A:$A,0))</f>
        <v>6110</v>
      </c>
      <c r="I55" s="0" t="n">
        <f aca="false">IF(OR(E55="개정판교체",E55="파본"),0,D55*H55)</f>
        <v>4386980</v>
      </c>
    </row>
    <row r="56" customFormat="false" ht="15" hidden="false" customHeight="false" outlineLevel="0" collapsed="false">
      <c r="A56" s="0" t="s">
        <v>84</v>
      </c>
      <c r="B56" s="1" t="s">
        <v>18</v>
      </c>
      <c r="C56" s="1" t="s">
        <v>76</v>
      </c>
      <c r="D56" s="0" t="n">
        <v>744</v>
      </c>
      <c r="E56" s="1" t="s">
        <v>116</v>
      </c>
      <c r="F56" s="0" t="n">
        <f aca="false">SUMIFS(출고!$F$2:$F$1167,출고!$B$2:$B$1167,B56,출고!$C$2:$C$1167,C56)/SUMIFS(출고!$D$2:$D$1167,출고!$B$2:$B$1167,B56,출고!$C$2:$C$1167,C56)</f>
        <v>9540.05160550459</v>
      </c>
      <c r="G56" s="0" t="n">
        <f aca="false">D56*F56</f>
        <v>7097798.39449541</v>
      </c>
      <c r="H56" s="0" t="n">
        <f aca="false">INDEX(마스터!$E:$E,MATCH(C56,마스터!$A:$A,0))</f>
        <v>4150</v>
      </c>
      <c r="I56" s="0" t="n">
        <f aca="false">IF(OR(E56="개정판교체",E56="파본"),0,D56*H56)</f>
        <v>3087600</v>
      </c>
    </row>
    <row r="57" customFormat="false" ht="15" hidden="false" customHeight="false" outlineLevel="0" collapsed="false">
      <c r="A57" s="0" t="s">
        <v>84</v>
      </c>
      <c r="B57" s="1" t="s">
        <v>19</v>
      </c>
      <c r="C57" s="1" t="s">
        <v>51</v>
      </c>
      <c r="D57" s="0" t="n">
        <v>484</v>
      </c>
      <c r="E57" s="1" t="s">
        <v>116</v>
      </c>
      <c r="F57" s="0" t="n">
        <f aca="false">SUMIFS(출고!$F$2:$F$1167,출고!$B$2:$B$1167,B57,출고!$C$2:$C$1167,C57)/SUMIFS(출고!$D$2:$D$1167,출고!$B$2:$B$1167,B57,출고!$C$2:$C$1167,C57)</f>
        <v>13293.5286415712</v>
      </c>
      <c r="G57" s="0" t="n">
        <f aca="false">D57*F57</f>
        <v>6434067.86252046</v>
      </c>
      <c r="H57" s="0" t="n">
        <f aca="false">INDEX(마스터!$E:$E,MATCH(C57,마스터!$A:$A,0))</f>
        <v>7480</v>
      </c>
      <c r="I57" s="0" t="n">
        <f aca="false">IF(OR(E57="개정판교체",E57="파본"),0,D57*H57)</f>
        <v>3620320</v>
      </c>
    </row>
    <row r="58" customFormat="false" ht="15" hidden="false" customHeight="false" outlineLevel="0" collapsed="false">
      <c r="A58" s="0" t="s">
        <v>84</v>
      </c>
      <c r="B58" s="1" t="s">
        <v>19</v>
      </c>
      <c r="C58" s="1" t="s">
        <v>51</v>
      </c>
      <c r="D58" s="0" t="n">
        <v>366</v>
      </c>
      <c r="E58" s="1" t="s">
        <v>118</v>
      </c>
      <c r="F58" s="0" t="n">
        <f aca="false">SUMIFS(출고!$F$2:$F$1167,출고!$B$2:$B$1167,B58,출고!$C$2:$C$1167,C58)/SUMIFS(출고!$D$2:$D$1167,출고!$B$2:$B$1167,B58,출고!$C$2:$C$1167,C58)</f>
        <v>13293.5286415712</v>
      </c>
      <c r="G58" s="0" t="n">
        <f aca="false">D58*F58</f>
        <v>4865431.48281506</v>
      </c>
      <c r="H58" s="0" t="n">
        <f aca="false">INDEX(마스터!$E:$E,MATCH(C58,마스터!$A:$A,0))</f>
        <v>7480</v>
      </c>
      <c r="I58" s="0" t="n">
        <f aca="false">IF(OR(E58="개정판교체",E58="파본"),0,D58*H58)</f>
        <v>0</v>
      </c>
    </row>
    <row r="59" customFormat="false" ht="15" hidden="false" customHeight="false" outlineLevel="0" collapsed="false">
      <c r="A59" s="0" t="s">
        <v>84</v>
      </c>
      <c r="B59" s="1" t="s">
        <v>19</v>
      </c>
      <c r="C59" s="1" t="s">
        <v>71</v>
      </c>
      <c r="D59" s="0" t="n">
        <v>865</v>
      </c>
      <c r="E59" s="1" t="s">
        <v>117</v>
      </c>
      <c r="F59" s="0" t="n">
        <f aca="false">SUMIFS(출고!$F$2:$F$1167,출고!$B$2:$B$1167,B59,출고!$C$2:$C$1167,C59)/SUMIFS(출고!$D$2:$D$1167,출고!$B$2:$B$1167,B59,출고!$C$2:$C$1167,C59)</f>
        <v>8426.58753709199</v>
      </c>
      <c r="G59" s="0" t="n">
        <f aca="false">D59*F59</f>
        <v>7288998.21958457</v>
      </c>
      <c r="H59" s="0" t="n">
        <f aca="false">INDEX(마스터!$E:$E,MATCH(C59,마스터!$A:$A,0))</f>
        <v>4330</v>
      </c>
      <c r="I59" s="0" t="n">
        <f aca="false">IF(OR(E59="개정판교체",E59="파본"),0,D59*H59)</f>
        <v>3745450</v>
      </c>
    </row>
    <row r="60" customFormat="false" ht="15" hidden="false" customHeight="false" outlineLevel="0" collapsed="false">
      <c r="A60" s="0" t="s">
        <v>84</v>
      </c>
      <c r="B60" s="1" t="s">
        <v>20</v>
      </c>
      <c r="C60" s="1" t="s">
        <v>59</v>
      </c>
      <c r="D60" s="0" t="n">
        <v>958</v>
      </c>
      <c r="E60" s="1" t="s">
        <v>118</v>
      </c>
      <c r="F60" s="0" t="n">
        <f aca="false">SUMIFS(출고!$F$2:$F$1167,출고!$B$2:$B$1167,B60,출고!$C$2:$C$1167,C60)/SUMIFS(출고!$D$2:$D$1167,출고!$B$2:$B$1167,B60,출고!$C$2:$C$1167,C60)</f>
        <v>14098.7883887253</v>
      </c>
      <c r="G60" s="0" t="n">
        <f aca="false">D60*F60</f>
        <v>13506639.2763988</v>
      </c>
      <c r="H60" s="0" t="n">
        <f aca="false">INDEX(마스터!$E:$E,MATCH(C60,마스터!$A:$A,0))</f>
        <v>6520</v>
      </c>
      <c r="I60" s="0" t="n">
        <f aca="false">IF(OR(E60="개정판교체",E60="파본"),0,D60*H60)</f>
        <v>0</v>
      </c>
    </row>
    <row r="61" customFormat="false" ht="15" hidden="false" customHeight="false" outlineLevel="0" collapsed="false">
      <c r="A61" s="0" t="s">
        <v>84</v>
      </c>
      <c r="B61" s="1" t="s">
        <v>21</v>
      </c>
      <c r="C61" s="1" t="s">
        <v>72</v>
      </c>
      <c r="D61" s="0" t="n">
        <v>1485</v>
      </c>
      <c r="E61" s="1" t="s">
        <v>116</v>
      </c>
      <c r="F61" s="0" t="n">
        <f aca="false">SUMIFS(출고!$F$2:$F$1167,출고!$B$2:$B$1167,B61,출고!$C$2:$C$1167,C61)/SUMIFS(출고!$D$2:$D$1167,출고!$B$2:$B$1167,B61,출고!$C$2:$C$1167,C61)</f>
        <v>12263.2052376886</v>
      </c>
      <c r="G61" s="0" t="n">
        <f aca="false">D61*F61</f>
        <v>18210859.7779676</v>
      </c>
      <c r="H61" s="0" t="n">
        <f aca="false">INDEX(마스터!$E:$E,MATCH(C61,마스터!$A:$A,0))</f>
        <v>5920</v>
      </c>
      <c r="I61" s="0" t="n">
        <f aca="false">IF(OR(E61="개정판교체",E61="파본"),0,D61*H61)</f>
        <v>8791200</v>
      </c>
    </row>
    <row r="62" customFormat="false" ht="15" hidden="false" customHeight="false" outlineLevel="0" collapsed="false">
      <c r="A62" s="0" t="s">
        <v>84</v>
      </c>
      <c r="B62" s="1" t="s">
        <v>22</v>
      </c>
      <c r="C62" s="1" t="s">
        <v>36</v>
      </c>
      <c r="D62" s="0" t="n">
        <v>578</v>
      </c>
      <c r="E62" s="1" t="s">
        <v>116</v>
      </c>
      <c r="F62" s="0" t="n">
        <f aca="false">SUMIFS(출고!$F$2:$F$1167,출고!$B$2:$B$1167,B62,출고!$C$2:$C$1167,C62)/SUMIFS(출고!$D$2:$D$1167,출고!$B$2:$B$1167,B62,출고!$C$2:$C$1167,C62)</f>
        <v>10184.7796474359</v>
      </c>
      <c r="G62" s="0" t="n">
        <f aca="false">D62*F62</f>
        <v>5886802.63621795</v>
      </c>
      <c r="H62" s="0" t="n">
        <f aca="false">INDEX(마스터!$E:$E,MATCH(C62,마스터!$A:$A,0))</f>
        <v>4540</v>
      </c>
      <c r="I62" s="0" t="n">
        <f aca="false">IF(OR(E62="개정판교체",E62="파본"),0,D62*H62)</f>
        <v>2624120</v>
      </c>
    </row>
    <row r="63" customFormat="false" ht="15" hidden="false" customHeight="false" outlineLevel="0" collapsed="false">
      <c r="A63" s="0" t="s">
        <v>84</v>
      </c>
      <c r="B63" s="1" t="s">
        <v>23</v>
      </c>
      <c r="C63" s="1" t="s">
        <v>59</v>
      </c>
      <c r="D63" s="0" t="n">
        <v>506</v>
      </c>
      <c r="E63" s="1" t="s">
        <v>117</v>
      </c>
      <c r="F63" s="0" t="n">
        <f aca="false">SUMIFS(출고!$F$2:$F$1167,출고!$B$2:$B$1167,B63,출고!$C$2:$C$1167,C63)/SUMIFS(출고!$D$2:$D$1167,출고!$B$2:$B$1167,B63,출고!$C$2:$C$1167,C63)</f>
        <v>13950.6813683913</v>
      </c>
      <c r="G63" s="0" t="n">
        <f aca="false">D63*F63</f>
        <v>7059044.77240599</v>
      </c>
      <c r="H63" s="0" t="n">
        <f aca="false">INDEX(마스터!$E:$E,MATCH(C63,마스터!$A:$A,0))</f>
        <v>6520</v>
      </c>
      <c r="I63" s="0" t="n">
        <f aca="false">IF(OR(E63="개정판교체",E63="파본"),0,D63*H63)</f>
        <v>3299120</v>
      </c>
    </row>
    <row r="64" customFormat="false" ht="15" hidden="false" customHeight="false" outlineLevel="0" collapsed="false">
      <c r="A64" s="0" t="s">
        <v>84</v>
      </c>
      <c r="B64" s="1" t="s">
        <v>25</v>
      </c>
      <c r="C64" s="1" t="s">
        <v>42</v>
      </c>
      <c r="D64" s="0" t="n">
        <v>218</v>
      </c>
      <c r="E64" s="1" t="s">
        <v>116</v>
      </c>
      <c r="F64" s="0" t="n">
        <f aca="false">SUMIFS(출고!$F$2:$F$1167,출고!$B$2:$B$1167,B64,출고!$C$2:$C$1167,C64)/SUMIFS(출고!$D$2:$D$1167,출고!$B$2:$B$1167,B64,출고!$C$2:$C$1167,C64)</f>
        <v>13298.6330935252</v>
      </c>
      <c r="G64" s="0" t="n">
        <f aca="false">D64*F64</f>
        <v>2899102.01438849</v>
      </c>
      <c r="H64" s="0" t="n">
        <f aca="false">INDEX(마스터!$E:$E,MATCH(C64,마스터!$A:$A,0))</f>
        <v>6730</v>
      </c>
      <c r="I64" s="0" t="n">
        <f aca="false">IF(OR(E64="개정판교체",E64="파본"),0,D64*H64)</f>
        <v>1467140</v>
      </c>
    </row>
    <row r="65" customFormat="false" ht="15" hidden="false" customHeight="false" outlineLevel="0" collapsed="false">
      <c r="A65" s="0" t="s">
        <v>84</v>
      </c>
      <c r="B65" s="1" t="s">
        <v>25</v>
      </c>
      <c r="C65" s="1" t="s">
        <v>42</v>
      </c>
      <c r="D65" s="0" t="n">
        <v>134</v>
      </c>
      <c r="E65" s="1" t="s">
        <v>118</v>
      </c>
      <c r="F65" s="0" t="n">
        <f aca="false">SUMIFS(출고!$F$2:$F$1167,출고!$B$2:$B$1167,B65,출고!$C$2:$C$1167,C65)/SUMIFS(출고!$D$2:$D$1167,출고!$B$2:$B$1167,B65,출고!$C$2:$C$1167,C65)</f>
        <v>13298.6330935252</v>
      </c>
      <c r="G65" s="0" t="n">
        <f aca="false">D65*F65</f>
        <v>1782016.83453237</v>
      </c>
      <c r="H65" s="0" t="n">
        <f aca="false">INDEX(마스터!$E:$E,MATCH(C65,마스터!$A:$A,0))</f>
        <v>6730</v>
      </c>
      <c r="I65" s="0" t="n">
        <f aca="false">IF(OR(E65="개정판교체",E65="파본"),0,D65*H65)</f>
        <v>0</v>
      </c>
    </row>
    <row r="66" customFormat="false" ht="15" hidden="false" customHeight="false" outlineLevel="0" collapsed="false">
      <c r="A66" s="0" t="s">
        <v>84</v>
      </c>
      <c r="B66" s="1" t="s">
        <v>24</v>
      </c>
      <c r="C66" s="1" t="s">
        <v>47</v>
      </c>
      <c r="D66" s="0" t="n">
        <v>432</v>
      </c>
      <c r="E66" s="1" t="s">
        <v>116</v>
      </c>
      <c r="F66" s="0" t="n">
        <f aca="false">SUMIFS(출고!$F$2:$F$1167,출고!$B$2:$B$1167,B66,출고!$C$2:$C$1167,C66)/SUMIFS(출고!$D$2:$D$1167,출고!$B$2:$B$1167,B66,출고!$C$2:$C$1167,C66)</f>
        <v>9119.17616126205</v>
      </c>
      <c r="G66" s="0" t="n">
        <f aca="false">D66*F66</f>
        <v>3939484.10166521</v>
      </c>
      <c r="H66" s="0" t="n">
        <f aca="false">INDEX(마스터!$E:$E,MATCH(C66,마스터!$A:$A,0))</f>
        <v>4170</v>
      </c>
      <c r="I66" s="0" t="n">
        <f aca="false">IF(OR(E66="개정판교체",E66="파본"),0,D66*H66)</f>
        <v>1801440</v>
      </c>
    </row>
    <row r="67" customFormat="false" ht="15" hidden="false" customHeight="false" outlineLevel="0" collapsed="false">
      <c r="A67" s="0" t="s">
        <v>87</v>
      </c>
      <c r="B67" s="1" t="s">
        <v>14</v>
      </c>
      <c r="C67" s="1" t="s">
        <v>74</v>
      </c>
      <c r="D67" s="0" t="n">
        <v>3647</v>
      </c>
      <c r="E67" s="1" t="s">
        <v>116</v>
      </c>
      <c r="F67" s="0" t="n">
        <f aca="false">SUMIFS(출고!$F$2:$F$1167,출고!$B$2:$B$1167,B67,출고!$C$2:$C$1167,C67)/SUMIFS(출고!$D$2:$D$1167,출고!$B$2:$B$1167,B67,출고!$C$2:$C$1167,C67)</f>
        <v>10957.1108263933</v>
      </c>
      <c r="G67" s="0" t="n">
        <f aca="false">D67*F67</f>
        <v>39960583.1838565</v>
      </c>
      <c r="H67" s="0" t="n">
        <f aca="false">INDEX(마스터!$E:$E,MATCH(C67,마스터!$A:$A,0))</f>
        <v>5400</v>
      </c>
      <c r="I67" s="0" t="n">
        <f aca="false">IF(OR(E67="개정판교체",E67="파본"),0,D67*H67)</f>
        <v>19693800</v>
      </c>
    </row>
    <row r="68" customFormat="false" ht="15" hidden="false" customHeight="false" outlineLevel="0" collapsed="false">
      <c r="A68" s="0" t="s">
        <v>87</v>
      </c>
      <c r="B68" s="1" t="s">
        <v>14</v>
      </c>
      <c r="C68" s="1" t="s">
        <v>38</v>
      </c>
      <c r="D68" s="0" t="n">
        <v>6613</v>
      </c>
      <c r="E68" s="1" t="s">
        <v>120</v>
      </c>
      <c r="F68" s="0" t="n">
        <f aca="false">SUMIFS(출고!$F$2:$F$1167,출고!$B$2:$B$1167,B68,출고!$C$2:$C$1167,C68)/SUMIFS(출고!$D$2:$D$1167,출고!$B$2:$B$1167,B68,출고!$C$2:$C$1167,C68)</f>
        <v>11280.897005988</v>
      </c>
      <c r="G68" s="0" t="n">
        <f aca="false">D68*F68</f>
        <v>74600571.9005988</v>
      </c>
      <c r="H68" s="0" t="n">
        <f aca="false">INDEX(마스터!$E:$E,MATCH(C68,마스터!$A:$A,0))</f>
        <v>5670</v>
      </c>
      <c r="I68" s="0" t="n">
        <f aca="false">IF(OR(E68="개정판교체",E68="파본"),0,D68*H68)</f>
        <v>0</v>
      </c>
    </row>
    <row r="69" customFormat="false" ht="15" hidden="false" customHeight="false" outlineLevel="0" collapsed="false">
      <c r="A69" s="0" t="s">
        <v>87</v>
      </c>
      <c r="B69" s="1" t="s">
        <v>14</v>
      </c>
      <c r="C69" s="1" t="s">
        <v>38</v>
      </c>
      <c r="D69" s="0" t="n">
        <v>1167</v>
      </c>
      <c r="E69" s="1" t="s">
        <v>116</v>
      </c>
      <c r="F69" s="0" t="n">
        <f aca="false">SUMIFS(출고!$F$2:$F$1167,출고!$B$2:$B$1167,B69,출고!$C$2:$C$1167,C69)/SUMIFS(출고!$D$2:$D$1167,출고!$B$2:$B$1167,B69,출고!$C$2:$C$1167,C69)</f>
        <v>11280.897005988</v>
      </c>
      <c r="G69" s="0" t="n">
        <f aca="false">D69*F69</f>
        <v>13164806.805988</v>
      </c>
      <c r="H69" s="0" t="n">
        <f aca="false">INDEX(마스터!$E:$E,MATCH(C69,마스터!$A:$A,0))</f>
        <v>5670</v>
      </c>
      <c r="I69" s="0" t="n">
        <f aca="false">IF(OR(E69="개정판교체",E69="파본"),0,D69*H69)</f>
        <v>6616890</v>
      </c>
    </row>
    <row r="70" customFormat="false" ht="15" hidden="false" customHeight="false" outlineLevel="0" collapsed="false">
      <c r="A70" s="0" t="s">
        <v>87</v>
      </c>
      <c r="B70" s="1" t="s">
        <v>14</v>
      </c>
      <c r="C70" s="1" t="s">
        <v>38</v>
      </c>
      <c r="D70" s="0" t="n">
        <v>4085</v>
      </c>
      <c r="E70" s="1" t="s">
        <v>117</v>
      </c>
      <c r="F70" s="0" t="n">
        <f aca="false">SUMIFS(출고!$F$2:$F$1167,출고!$B$2:$B$1167,B70,출고!$C$2:$C$1167,C70)/SUMIFS(출고!$D$2:$D$1167,출고!$B$2:$B$1167,B70,출고!$C$2:$C$1167,C70)</f>
        <v>11280.897005988</v>
      </c>
      <c r="G70" s="0" t="n">
        <f aca="false">D70*F70</f>
        <v>46082464.2694611</v>
      </c>
      <c r="H70" s="0" t="n">
        <f aca="false">INDEX(마스터!$E:$E,MATCH(C70,마스터!$A:$A,0))</f>
        <v>5670</v>
      </c>
      <c r="I70" s="0" t="n">
        <f aca="false">IF(OR(E70="개정판교체",E70="파본"),0,D70*H70)</f>
        <v>23161950</v>
      </c>
    </row>
    <row r="71" customFormat="false" ht="15" hidden="false" customHeight="false" outlineLevel="0" collapsed="false">
      <c r="A71" s="0" t="s">
        <v>87</v>
      </c>
      <c r="B71" s="1" t="s">
        <v>14</v>
      </c>
      <c r="C71" s="1" t="s">
        <v>64</v>
      </c>
      <c r="D71" s="0" t="n">
        <v>1958</v>
      </c>
      <c r="E71" s="1" t="s">
        <v>116</v>
      </c>
      <c r="F71" s="0" t="n">
        <f aca="false">SUMIFS(출고!$F$2:$F$1167,출고!$B$2:$B$1167,B71,출고!$C$2:$C$1167,C71)/SUMIFS(출고!$D$2:$D$1167,출고!$B$2:$B$1167,B71,출고!$C$2:$C$1167,C71)</f>
        <v>11604.5443349754</v>
      </c>
      <c r="G71" s="0" t="n">
        <f aca="false">D71*F71</f>
        <v>22721697.8078818</v>
      </c>
      <c r="H71" s="0" t="n">
        <f aca="false">INDEX(마스터!$E:$E,MATCH(C71,마스터!$A:$A,0))</f>
        <v>5890</v>
      </c>
      <c r="I71" s="0" t="n">
        <f aca="false">IF(OR(E71="개정판교체",E71="파본"),0,D71*H71)</f>
        <v>11532620</v>
      </c>
    </row>
    <row r="72" customFormat="false" ht="15" hidden="false" customHeight="false" outlineLevel="0" collapsed="false">
      <c r="A72" s="0" t="s">
        <v>87</v>
      </c>
      <c r="B72" s="1" t="s">
        <v>14</v>
      </c>
      <c r="C72" s="1" t="s">
        <v>64</v>
      </c>
      <c r="D72" s="0" t="n">
        <v>1360</v>
      </c>
      <c r="E72" s="1" t="s">
        <v>118</v>
      </c>
      <c r="F72" s="0" t="n">
        <f aca="false">SUMIFS(출고!$F$2:$F$1167,출고!$B$2:$B$1167,B72,출고!$C$2:$C$1167,C72)/SUMIFS(출고!$D$2:$D$1167,출고!$B$2:$B$1167,B72,출고!$C$2:$C$1167,C72)</f>
        <v>11604.5443349754</v>
      </c>
      <c r="G72" s="0" t="n">
        <f aca="false">D72*F72</f>
        <v>15782180.2955665</v>
      </c>
      <c r="H72" s="0" t="n">
        <f aca="false">INDEX(마스터!$E:$E,MATCH(C72,마스터!$A:$A,0))</f>
        <v>5890</v>
      </c>
      <c r="I72" s="0" t="n">
        <f aca="false">IF(OR(E72="개정판교체",E72="파본"),0,D72*H72)</f>
        <v>0</v>
      </c>
    </row>
    <row r="73" customFormat="false" ht="15" hidden="false" customHeight="false" outlineLevel="0" collapsed="false">
      <c r="A73" s="0" t="s">
        <v>87</v>
      </c>
      <c r="B73" s="1" t="s">
        <v>14</v>
      </c>
      <c r="C73" s="1" t="s">
        <v>48</v>
      </c>
      <c r="D73" s="0" t="n">
        <v>1950</v>
      </c>
      <c r="E73" s="1" t="s">
        <v>117</v>
      </c>
      <c r="F73" s="0" t="n">
        <f aca="false">SUMIFS(출고!$F$2:$F$1167,출고!$B$2:$B$1167,B73,출고!$C$2:$C$1167,C73)/SUMIFS(출고!$D$2:$D$1167,출고!$B$2:$B$1167,B73,출고!$C$2:$C$1167,C73)</f>
        <v>11921.7601459188</v>
      </c>
      <c r="G73" s="0" t="n">
        <f aca="false">D73*F73</f>
        <v>23247432.2845417</v>
      </c>
      <c r="H73" s="0" t="n">
        <f aca="false">INDEX(마스터!$E:$E,MATCH(C73,마스터!$A:$A,0))</f>
        <v>6440</v>
      </c>
      <c r="I73" s="0" t="n">
        <f aca="false">IF(OR(E73="개정판교체",E73="파본"),0,D73*H73)</f>
        <v>12558000</v>
      </c>
    </row>
    <row r="74" customFormat="false" ht="15" hidden="false" customHeight="false" outlineLevel="0" collapsed="false">
      <c r="A74" s="0" t="s">
        <v>87</v>
      </c>
      <c r="B74" s="1" t="s">
        <v>14</v>
      </c>
      <c r="C74" s="1" t="s">
        <v>48</v>
      </c>
      <c r="D74" s="0" t="n">
        <v>1661</v>
      </c>
      <c r="E74" s="1" t="s">
        <v>118</v>
      </c>
      <c r="F74" s="0" t="n">
        <f aca="false">SUMIFS(출고!$F$2:$F$1167,출고!$B$2:$B$1167,B74,출고!$C$2:$C$1167,C74)/SUMIFS(출고!$D$2:$D$1167,출고!$B$2:$B$1167,B74,출고!$C$2:$C$1167,C74)</f>
        <v>11921.7601459188</v>
      </c>
      <c r="G74" s="0" t="n">
        <f aca="false">D74*F74</f>
        <v>19802043.6023712</v>
      </c>
      <c r="H74" s="0" t="n">
        <f aca="false">INDEX(마스터!$E:$E,MATCH(C74,마스터!$A:$A,0))</f>
        <v>6440</v>
      </c>
      <c r="I74" s="0" t="n">
        <f aca="false">IF(OR(E74="개정판교체",E74="파본"),0,D74*H74)</f>
        <v>0</v>
      </c>
    </row>
    <row r="75" customFormat="false" ht="15" hidden="false" customHeight="false" outlineLevel="0" collapsed="false">
      <c r="A75" s="0" t="s">
        <v>87</v>
      </c>
      <c r="B75" s="1" t="s">
        <v>15</v>
      </c>
      <c r="C75" s="1" t="s">
        <v>38</v>
      </c>
      <c r="D75" s="0" t="n">
        <v>3999</v>
      </c>
      <c r="E75" s="1" t="s">
        <v>120</v>
      </c>
      <c r="F75" s="0" t="n">
        <f aca="false">SUMIFS(출고!$F$2:$F$1167,출고!$B$2:$B$1167,B75,출고!$C$2:$C$1167,C75)/SUMIFS(출고!$D$2:$D$1167,출고!$B$2:$B$1167,B75,출고!$C$2:$C$1167,C75)</f>
        <v>11377.4589032501</v>
      </c>
      <c r="G75" s="0" t="n">
        <f aca="false">D75*F75</f>
        <v>45498458.1540971</v>
      </c>
      <c r="H75" s="0" t="n">
        <f aca="false">INDEX(마스터!$E:$E,MATCH(C75,마스터!$A:$A,0))</f>
        <v>5670</v>
      </c>
      <c r="I75" s="0" t="n">
        <f aca="false">IF(OR(E75="개정판교체",E75="파본"),0,D75*H75)</f>
        <v>0</v>
      </c>
    </row>
    <row r="76" customFormat="false" ht="15" hidden="false" customHeight="false" outlineLevel="0" collapsed="false">
      <c r="A76" s="0" t="s">
        <v>87</v>
      </c>
      <c r="B76" s="1" t="s">
        <v>15</v>
      </c>
      <c r="C76" s="1" t="s">
        <v>38</v>
      </c>
      <c r="D76" s="0" t="n">
        <v>706</v>
      </c>
      <c r="E76" s="1" t="s">
        <v>116</v>
      </c>
      <c r="F76" s="0" t="n">
        <f aca="false">SUMIFS(출고!$F$2:$F$1167,출고!$B$2:$B$1167,B76,출고!$C$2:$C$1167,C76)/SUMIFS(출고!$D$2:$D$1167,출고!$B$2:$B$1167,B76,출고!$C$2:$C$1167,C76)</f>
        <v>11377.4589032501</v>
      </c>
      <c r="G76" s="0" t="n">
        <f aca="false">D76*F76</f>
        <v>8032485.98569457</v>
      </c>
      <c r="H76" s="0" t="n">
        <f aca="false">INDEX(마스터!$E:$E,MATCH(C76,마스터!$A:$A,0))</f>
        <v>5670</v>
      </c>
      <c r="I76" s="0" t="n">
        <f aca="false">IF(OR(E76="개정판교체",E76="파본"),0,D76*H76)</f>
        <v>4003020</v>
      </c>
    </row>
    <row r="77" customFormat="false" ht="15" hidden="false" customHeight="false" outlineLevel="0" collapsed="false">
      <c r="A77" s="0" t="s">
        <v>87</v>
      </c>
      <c r="B77" s="1" t="s">
        <v>15</v>
      </c>
      <c r="C77" s="1" t="s">
        <v>48</v>
      </c>
      <c r="D77" s="0" t="n">
        <v>716</v>
      </c>
      <c r="E77" s="1" t="s">
        <v>116</v>
      </c>
      <c r="F77" s="0" t="n">
        <f aca="false">SUMIFS(출고!$F$2:$F$1167,출고!$B$2:$B$1167,B77,출고!$C$2:$C$1167,C77)/SUMIFS(출고!$D$2:$D$1167,출고!$B$2:$B$1167,B77,출고!$C$2:$C$1167,C77)</f>
        <v>12033.9746597841</v>
      </c>
      <c r="G77" s="0" t="n">
        <f aca="false">D77*F77</f>
        <v>8616325.85640544</v>
      </c>
      <c r="H77" s="0" t="n">
        <f aca="false">INDEX(마스터!$E:$E,MATCH(C77,마스터!$A:$A,0))</f>
        <v>6440</v>
      </c>
      <c r="I77" s="0" t="n">
        <f aca="false">IF(OR(E77="개정판교체",E77="파본"),0,D77*H77)</f>
        <v>4611040</v>
      </c>
    </row>
    <row r="78" customFormat="false" ht="15" hidden="false" customHeight="false" outlineLevel="0" collapsed="false">
      <c r="A78" s="0" t="s">
        <v>87</v>
      </c>
      <c r="B78" s="1" t="s">
        <v>15</v>
      </c>
      <c r="C78" s="1" t="s">
        <v>48</v>
      </c>
      <c r="D78" s="0" t="n">
        <v>600</v>
      </c>
      <c r="E78" s="1" t="s">
        <v>119</v>
      </c>
      <c r="F78" s="0" t="n">
        <f aca="false">SUMIFS(출고!$F$2:$F$1167,출고!$B$2:$B$1167,B78,출고!$C$2:$C$1167,C78)/SUMIFS(출고!$D$2:$D$1167,출고!$B$2:$B$1167,B78,출고!$C$2:$C$1167,C78)</f>
        <v>12033.9746597841</v>
      </c>
      <c r="G78" s="0" t="n">
        <f aca="false">D78*F78</f>
        <v>7220384.79587048</v>
      </c>
      <c r="H78" s="0" t="n">
        <f aca="false">INDEX(마스터!$E:$E,MATCH(C78,마스터!$A:$A,0))</f>
        <v>6440</v>
      </c>
      <c r="I78" s="0" t="n">
        <f aca="false">IF(OR(E78="개정판교체",E78="파본"),0,D78*H78)</f>
        <v>3864000</v>
      </c>
    </row>
    <row r="79" customFormat="false" ht="15" hidden="false" customHeight="false" outlineLevel="0" collapsed="false">
      <c r="A79" s="0" t="s">
        <v>87</v>
      </c>
      <c r="B79" s="1" t="s">
        <v>15</v>
      </c>
      <c r="C79" s="1" t="s">
        <v>48</v>
      </c>
      <c r="D79" s="0" t="n">
        <v>1122</v>
      </c>
      <c r="E79" s="1" t="s">
        <v>118</v>
      </c>
      <c r="F79" s="0" t="n">
        <f aca="false">SUMIFS(출고!$F$2:$F$1167,출고!$B$2:$B$1167,B79,출고!$C$2:$C$1167,C79)/SUMIFS(출고!$D$2:$D$1167,출고!$B$2:$B$1167,B79,출고!$C$2:$C$1167,C79)</f>
        <v>12033.9746597841</v>
      </c>
      <c r="G79" s="0" t="n">
        <f aca="false">D79*F79</f>
        <v>13502119.5682778</v>
      </c>
      <c r="H79" s="0" t="n">
        <f aca="false">INDEX(마스터!$E:$E,MATCH(C79,마스터!$A:$A,0))</f>
        <v>6440</v>
      </c>
      <c r="I79" s="0" t="n">
        <f aca="false">IF(OR(E79="개정판교체",E79="파본"),0,D79*H79)</f>
        <v>0</v>
      </c>
    </row>
    <row r="80" customFormat="false" ht="15" hidden="false" customHeight="false" outlineLevel="0" collapsed="false">
      <c r="A80" s="0" t="s">
        <v>87</v>
      </c>
      <c r="B80" s="1" t="s">
        <v>15</v>
      </c>
      <c r="C80" s="1" t="s">
        <v>66</v>
      </c>
      <c r="D80" s="0" t="n">
        <v>1408</v>
      </c>
      <c r="E80" s="1" t="s">
        <v>116</v>
      </c>
      <c r="F80" s="0" t="n">
        <f aca="false">SUMIFS(출고!$F$2:$F$1167,출고!$B$2:$B$1167,B80,출고!$C$2:$C$1167,C80)/SUMIFS(출고!$D$2:$D$1167,출고!$B$2:$B$1167,B80,출고!$C$2:$C$1167,C80)</f>
        <v>12030.3590777372</v>
      </c>
      <c r="G80" s="0" t="n">
        <f aca="false">D80*F80</f>
        <v>16938745.581454</v>
      </c>
      <c r="H80" s="0" t="n">
        <f aca="false">INDEX(마스터!$E:$E,MATCH(C80,마스터!$A:$A,0))</f>
        <v>6360</v>
      </c>
      <c r="I80" s="0" t="n">
        <f aca="false">IF(OR(E80="개정판교체",E80="파본"),0,D80*H80)</f>
        <v>8954880</v>
      </c>
    </row>
    <row r="81" customFormat="false" ht="15" hidden="false" customHeight="false" outlineLevel="0" collapsed="false">
      <c r="A81" s="0" t="s">
        <v>87</v>
      </c>
      <c r="B81" s="1" t="s">
        <v>16</v>
      </c>
      <c r="C81" s="1" t="s">
        <v>37</v>
      </c>
      <c r="D81" s="0" t="n">
        <v>933</v>
      </c>
      <c r="E81" s="1" t="s">
        <v>117</v>
      </c>
      <c r="F81" s="0" t="n">
        <f aca="false">SUMIFS(출고!$F$2:$F$1167,출고!$B$2:$B$1167,B81,출고!$C$2:$C$1167,C81)/SUMIFS(출고!$D$2:$D$1167,출고!$B$2:$B$1167,B81,출고!$C$2:$C$1167,C81)</f>
        <v>10591.9204222493</v>
      </c>
      <c r="G81" s="0" t="n">
        <f aca="false">D81*F81</f>
        <v>9882261.75395859</v>
      </c>
      <c r="H81" s="0" t="n">
        <f aca="false">INDEX(마스터!$E:$E,MATCH(C81,마스터!$A:$A,0))</f>
        <v>4900</v>
      </c>
      <c r="I81" s="0" t="n">
        <f aca="false">IF(OR(E81="개정판교체",E81="파본"),0,D81*H81)</f>
        <v>4571700</v>
      </c>
    </row>
    <row r="82" customFormat="false" ht="15" hidden="false" customHeight="false" outlineLevel="0" collapsed="false">
      <c r="A82" s="0" t="s">
        <v>87</v>
      </c>
      <c r="B82" s="1" t="s">
        <v>16</v>
      </c>
      <c r="C82" s="1" t="s">
        <v>38</v>
      </c>
      <c r="D82" s="0" t="n">
        <v>1815</v>
      </c>
      <c r="E82" s="1" t="s">
        <v>120</v>
      </c>
      <c r="F82" s="0" t="n">
        <f aca="false">SUMIFS(출고!$F$2:$F$1167,출고!$B$2:$B$1167,B82,출고!$C$2:$C$1167,C82)/SUMIFS(출고!$D$2:$D$1167,출고!$B$2:$B$1167,B82,출고!$C$2:$C$1167,C82)</f>
        <v>12452.79296875</v>
      </c>
      <c r="G82" s="0" t="n">
        <f aca="false">D82*F82</f>
        <v>22601819.2382813</v>
      </c>
      <c r="H82" s="0" t="n">
        <f aca="false">INDEX(마스터!$E:$E,MATCH(C82,마스터!$A:$A,0))</f>
        <v>5670</v>
      </c>
      <c r="I82" s="0" t="n">
        <f aca="false">IF(OR(E82="개정판교체",E82="파본"),0,D82*H82)</f>
        <v>0</v>
      </c>
    </row>
    <row r="83" customFormat="false" ht="15" hidden="false" customHeight="false" outlineLevel="0" collapsed="false">
      <c r="A83" s="0" t="s">
        <v>87</v>
      </c>
      <c r="B83" s="1" t="s">
        <v>16</v>
      </c>
      <c r="C83" s="1" t="s">
        <v>38</v>
      </c>
      <c r="D83" s="0" t="n">
        <v>320</v>
      </c>
      <c r="E83" s="1" t="s">
        <v>116</v>
      </c>
      <c r="F83" s="0" t="n">
        <f aca="false">SUMIFS(출고!$F$2:$F$1167,출고!$B$2:$B$1167,B83,출고!$C$2:$C$1167,C83)/SUMIFS(출고!$D$2:$D$1167,출고!$B$2:$B$1167,B83,출고!$C$2:$C$1167,C83)</f>
        <v>12452.79296875</v>
      </c>
      <c r="G83" s="0" t="n">
        <f aca="false">D83*F83</f>
        <v>3984893.75</v>
      </c>
      <c r="H83" s="0" t="n">
        <f aca="false">INDEX(마스터!$E:$E,MATCH(C83,마스터!$A:$A,0))</f>
        <v>5670</v>
      </c>
      <c r="I83" s="0" t="n">
        <f aca="false">IF(OR(E83="개정판교체",E83="파본"),0,D83*H83)</f>
        <v>1814400</v>
      </c>
    </row>
    <row r="84" customFormat="false" ht="15" hidden="false" customHeight="false" outlineLevel="0" collapsed="false">
      <c r="A84" s="0" t="s">
        <v>87</v>
      </c>
      <c r="B84" s="1" t="s">
        <v>16</v>
      </c>
      <c r="C84" s="1" t="s">
        <v>38</v>
      </c>
      <c r="D84" s="0" t="n">
        <v>839</v>
      </c>
      <c r="E84" s="1" t="s">
        <v>117</v>
      </c>
      <c r="F84" s="0" t="n">
        <f aca="false">SUMIFS(출고!$F$2:$F$1167,출고!$B$2:$B$1167,B84,출고!$C$2:$C$1167,C84)/SUMIFS(출고!$D$2:$D$1167,출고!$B$2:$B$1167,B84,출고!$C$2:$C$1167,C84)</f>
        <v>12452.79296875</v>
      </c>
      <c r="G84" s="0" t="n">
        <f aca="false">D84*F84</f>
        <v>10447893.3007813</v>
      </c>
      <c r="H84" s="0" t="n">
        <f aca="false">INDEX(마스터!$E:$E,MATCH(C84,마스터!$A:$A,0))</f>
        <v>5670</v>
      </c>
      <c r="I84" s="0" t="n">
        <f aca="false">IF(OR(E84="개정판교체",E84="파본"),0,D84*H84)</f>
        <v>4757130</v>
      </c>
    </row>
    <row r="85" customFormat="false" ht="15" hidden="false" customHeight="false" outlineLevel="0" collapsed="false">
      <c r="A85" s="0" t="s">
        <v>87</v>
      </c>
      <c r="B85" s="1" t="s">
        <v>16</v>
      </c>
      <c r="C85" s="1" t="s">
        <v>34</v>
      </c>
      <c r="D85" s="0" t="n">
        <v>428</v>
      </c>
      <c r="E85" s="1" t="s">
        <v>117</v>
      </c>
      <c r="F85" s="0" t="n">
        <f aca="false">SUMIFS(출고!$F$2:$F$1167,출고!$B$2:$B$1167,B85,출고!$C$2:$C$1167,C85)/SUMIFS(출고!$D$2:$D$1167,출고!$B$2:$B$1167,B85,출고!$C$2:$C$1167,C85)</f>
        <v>13133.1734028683</v>
      </c>
      <c r="G85" s="0" t="n">
        <f aca="false">D85*F85</f>
        <v>5620998.21642764</v>
      </c>
      <c r="H85" s="0" t="n">
        <f aca="false">INDEX(마스터!$E:$E,MATCH(C85,마스터!$A:$A,0))</f>
        <v>6630</v>
      </c>
      <c r="I85" s="0" t="n">
        <f aca="false">IF(OR(E85="개정판교체",E85="파본"),0,D85*H85)</f>
        <v>2837640</v>
      </c>
    </row>
    <row r="86" customFormat="false" ht="15" hidden="false" customHeight="false" outlineLevel="0" collapsed="false">
      <c r="A86" s="0" t="s">
        <v>87</v>
      </c>
      <c r="B86" s="1" t="s">
        <v>16</v>
      </c>
      <c r="C86" s="1" t="s">
        <v>34</v>
      </c>
      <c r="D86" s="0" t="n">
        <v>336</v>
      </c>
      <c r="E86" s="1" t="s">
        <v>118</v>
      </c>
      <c r="F86" s="0" t="n">
        <f aca="false">SUMIFS(출고!$F$2:$F$1167,출고!$B$2:$B$1167,B86,출고!$C$2:$C$1167,C86)/SUMIFS(출고!$D$2:$D$1167,출고!$B$2:$B$1167,B86,출고!$C$2:$C$1167,C86)</f>
        <v>13133.1734028683</v>
      </c>
      <c r="G86" s="0" t="n">
        <f aca="false">D86*F86</f>
        <v>4412746.26336376</v>
      </c>
      <c r="H86" s="0" t="n">
        <f aca="false">INDEX(마스터!$E:$E,MATCH(C86,마스터!$A:$A,0))</f>
        <v>6630</v>
      </c>
      <c r="I86" s="0" t="n">
        <f aca="false">IF(OR(E86="개정판교체",E86="파본"),0,D86*H86)</f>
        <v>0</v>
      </c>
    </row>
    <row r="87" customFormat="false" ht="15" hidden="false" customHeight="false" outlineLevel="0" collapsed="false">
      <c r="A87" s="0" t="s">
        <v>87</v>
      </c>
      <c r="B87" s="1" t="s">
        <v>17</v>
      </c>
      <c r="C87" s="1" t="s">
        <v>38</v>
      </c>
      <c r="D87" s="0" t="n">
        <v>2654</v>
      </c>
      <c r="E87" s="1" t="s">
        <v>120</v>
      </c>
      <c r="F87" s="0" t="n">
        <f aca="false">SUMIFS(출고!$F$2:$F$1167,출고!$B$2:$B$1167,B87,출고!$C$2:$C$1167,C87)/SUMIFS(출고!$D$2:$D$1167,출고!$B$2:$B$1167,B87,출고!$C$2:$C$1167,C87)</f>
        <v>11290.7279191617</v>
      </c>
      <c r="G87" s="0" t="n">
        <f aca="false">D87*F87</f>
        <v>29965591.8974551</v>
      </c>
      <c r="H87" s="0" t="n">
        <f aca="false">INDEX(마스터!$E:$E,MATCH(C87,마스터!$A:$A,0))</f>
        <v>5670</v>
      </c>
      <c r="I87" s="0" t="n">
        <f aca="false">IF(OR(E87="개정판교체",E87="파본"),0,D87*H87)</f>
        <v>0</v>
      </c>
    </row>
    <row r="88" customFormat="false" ht="15" hidden="false" customHeight="false" outlineLevel="0" collapsed="false">
      <c r="A88" s="0" t="s">
        <v>87</v>
      </c>
      <c r="B88" s="1" t="s">
        <v>17</v>
      </c>
      <c r="C88" s="1" t="s">
        <v>38</v>
      </c>
      <c r="D88" s="0" t="n">
        <v>468</v>
      </c>
      <c r="E88" s="1" t="s">
        <v>116</v>
      </c>
      <c r="F88" s="0" t="n">
        <f aca="false">SUMIFS(출고!$F$2:$F$1167,출고!$B$2:$B$1167,B88,출고!$C$2:$C$1167,C88)/SUMIFS(출고!$D$2:$D$1167,출고!$B$2:$B$1167,B88,출고!$C$2:$C$1167,C88)</f>
        <v>11290.7279191617</v>
      </c>
      <c r="G88" s="0" t="n">
        <f aca="false">D88*F88</f>
        <v>5284060.66616766</v>
      </c>
      <c r="H88" s="0" t="n">
        <f aca="false">INDEX(마스터!$E:$E,MATCH(C88,마스터!$A:$A,0))</f>
        <v>5670</v>
      </c>
      <c r="I88" s="0" t="n">
        <f aca="false">IF(OR(E88="개정판교체",E88="파본"),0,D88*H88)</f>
        <v>2653560</v>
      </c>
    </row>
    <row r="89" customFormat="false" ht="15" hidden="false" customHeight="false" outlineLevel="0" collapsed="false">
      <c r="A89" s="0" t="s">
        <v>87</v>
      </c>
      <c r="B89" s="1" t="s">
        <v>17</v>
      </c>
      <c r="C89" s="1" t="s">
        <v>63</v>
      </c>
      <c r="D89" s="0" t="n">
        <v>1141</v>
      </c>
      <c r="E89" s="1" t="s">
        <v>117</v>
      </c>
      <c r="F89" s="0" t="n">
        <f aca="false">SUMIFS(출고!$F$2:$F$1167,출고!$B$2:$B$1167,B89,출고!$C$2:$C$1167,C89)/SUMIFS(출고!$D$2:$D$1167,출고!$B$2:$B$1167,B89,출고!$C$2:$C$1167,C89)</f>
        <v>10642.9993618379</v>
      </c>
      <c r="G89" s="0" t="n">
        <f aca="false">D89*F89</f>
        <v>12143662.2718571</v>
      </c>
      <c r="H89" s="0" t="n">
        <f aca="false">INDEX(마스터!$E:$E,MATCH(C89,마스터!$A:$A,0))</f>
        <v>5290</v>
      </c>
      <c r="I89" s="0" t="n">
        <f aca="false">IF(OR(E89="개정판교체",E89="파본"),0,D89*H89)</f>
        <v>6035890</v>
      </c>
    </row>
    <row r="90" customFormat="false" ht="15" hidden="false" customHeight="false" outlineLevel="0" collapsed="false">
      <c r="A90" s="0" t="s">
        <v>87</v>
      </c>
      <c r="B90" s="1" t="s">
        <v>17</v>
      </c>
      <c r="C90" s="1" t="s">
        <v>33</v>
      </c>
      <c r="D90" s="0" t="n">
        <v>1337</v>
      </c>
      <c r="E90" s="1" t="s">
        <v>116</v>
      </c>
      <c r="F90" s="0" t="n">
        <f aca="false">SUMIFS(출고!$F$2:$F$1167,출고!$B$2:$B$1167,B90,출고!$C$2:$C$1167,C90)/SUMIFS(출고!$D$2:$D$1167,출고!$B$2:$B$1167,B90,출고!$C$2:$C$1167,C90)</f>
        <v>12257.3281308064</v>
      </c>
      <c r="G90" s="0" t="n">
        <f aca="false">D90*F90</f>
        <v>16388047.7108881</v>
      </c>
      <c r="H90" s="0" t="n">
        <f aca="false">INDEX(마스터!$E:$E,MATCH(C90,마스터!$A:$A,0))</f>
        <v>6790</v>
      </c>
      <c r="I90" s="0" t="n">
        <f aca="false">IF(OR(E90="개정판교체",E90="파본"),0,D90*H90)</f>
        <v>9078230</v>
      </c>
    </row>
    <row r="91" customFormat="false" ht="15" hidden="false" customHeight="false" outlineLevel="0" collapsed="false">
      <c r="A91" s="0" t="s">
        <v>87</v>
      </c>
      <c r="B91" s="1" t="s">
        <v>18</v>
      </c>
      <c r="C91" s="1" t="s">
        <v>58</v>
      </c>
      <c r="D91" s="0" t="n">
        <v>759</v>
      </c>
      <c r="E91" s="1" t="s">
        <v>116</v>
      </c>
      <c r="F91" s="0" t="n">
        <f aca="false">SUMIFS(출고!$F$2:$F$1167,출고!$B$2:$B$1167,B91,출고!$C$2:$C$1167,C91)/SUMIFS(출고!$D$2:$D$1167,출고!$B$2:$B$1167,B91,출고!$C$2:$C$1167,C91)</f>
        <v>12008.6380072318</v>
      </c>
      <c r="G91" s="0" t="n">
        <f aca="false">D91*F91</f>
        <v>9114556.24748895</v>
      </c>
      <c r="H91" s="0" t="n">
        <f aca="false">INDEX(마스터!$E:$E,MATCH(C91,마스터!$A:$A,0))</f>
        <v>5720</v>
      </c>
      <c r="I91" s="0" t="n">
        <f aca="false">IF(OR(E91="개정판교체",E91="파본"),0,D91*H91)</f>
        <v>4341480</v>
      </c>
    </row>
    <row r="92" customFormat="false" ht="15" hidden="false" customHeight="false" outlineLevel="0" collapsed="false">
      <c r="A92" s="0" t="s">
        <v>87</v>
      </c>
      <c r="B92" s="1" t="s">
        <v>18</v>
      </c>
      <c r="C92" s="1" t="s">
        <v>75</v>
      </c>
      <c r="D92" s="0" t="n">
        <v>716</v>
      </c>
      <c r="E92" s="1" t="s">
        <v>117</v>
      </c>
      <c r="F92" s="0" t="n">
        <f aca="false">SUMIFS(출고!$F$2:$F$1167,출고!$B$2:$B$1167,B92,출고!$C$2:$C$1167,C92)/SUMIFS(출고!$D$2:$D$1167,출고!$B$2:$B$1167,B92,출고!$C$2:$C$1167,C92)</f>
        <v>12014.5894507885</v>
      </c>
      <c r="G92" s="0" t="n">
        <f aca="false">D92*F92</f>
        <v>8602446.04676455</v>
      </c>
      <c r="H92" s="0" t="n">
        <f aca="false">INDEX(마스터!$E:$E,MATCH(C92,마스터!$A:$A,0))</f>
        <v>5440</v>
      </c>
      <c r="I92" s="0" t="n">
        <f aca="false">IF(OR(E92="개정판교체",E92="파본"),0,D92*H92)</f>
        <v>3895040</v>
      </c>
    </row>
    <row r="93" customFormat="false" ht="15" hidden="false" customHeight="false" outlineLevel="0" collapsed="false">
      <c r="A93" s="0" t="s">
        <v>87</v>
      </c>
      <c r="B93" s="1" t="s">
        <v>19</v>
      </c>
      <c r="C93" s="1" t="s">
        <v>60</v>
      </c>
      <c r="D93" s="0" t="n">
        <v>1106</v>
      </c>
      <c r="E93" s="1" t="s">
        <v>116</v>
      </c>
      <c r="F93" s="0" t="n">
        <f aca="false">SUMIFS(출고!$F$2:$F$1167,출고!$B$2:$B$1167,B93,출고!$C$2:$C$1167,C93)/SUMIFS(출고!$D$2:$D$1167,출고!$B$2:$B$1167,B93,출고!$C$2:$C$1167,C93)</f>
        <v>12638.858151854</v>
      </c>
      <c r="G93" s="0" t="n">
        <f aca="false">D93*F93</f>
        <v>13978577.1159506</v>
      </c>
      <c r="H93" s="0" t="n">
        <f aca="false">INDEX(마스터!$E:$E,MATCH(C93,마스터!$A:$A,0))</f>
        <v>6980</v>
      </c>
      <c r="I93" s="0" t="n">
        <f aca="false">IF(OR(E93="개정판교체",E93="파본"),0,D93*H93)</f>
        <v>7719880</v>
      </c>
    </row>
    <row r="94" customFormat="false" ht="15" hidden="false" customHeight="false" outlineLevel="0" collapsed="false">
      <c r="A94" s="0" t="s">
        <v>87</v>
      </c>
      <c r="B94" s="1" t="s">
        <v>19</v>
      </c>
      <c r="C94" s="1" t="s">
        <v>64</v>
      </c>
      <c r="D94" s="0" t="n">
        <v>428</v>
      </c>
      <c r="E94" s="1" t="s">
        <v>117</v>
      </c>
      <c r="F94" s="0" t="n">
        <f aca="false">SUMIFS(출고!$F$2:$F$1167,출고!$B$2:$B$1167,B94,출고!$C$2:$C$1167,C94)/SUMIFS(출고!$D$2:$D$1167,출고!$B$2:$B$1167,B94,출고!$C$2:$C$1167,C94)</f>
        <v>11660.5207328833</v>
      </c>
      <c r="G94" s="0" t="n">
        <f aca="false">D94*F94</f>
        <v>4990702.87367406</v>
      </c>
      <c r="H94" s="0" t="n">
        <f aca="false">INDEX(마스터!$E:$E,MATCH(C94,마스터!$A:$A,0))</f>
        <v>5890</v>
      </c>
      <c r="I94" s="0" t="n">
        <f aca="false">IF(OR(E94="개정판교체",E94="파본"),0,D94*H94)</f>
        <v>2520920</v>
      </c>
    </row>
    <row r="95" customFormat="false" ht="15" hidden="false" customHeight="false" outlineLevel="0" collapsed="false">
      <c r="A95" s="0" t="s">
        <v>87</v>
      </c>
      <c r="B95" s="1" t="s">
        <v>19</v>
      </c>
      <c r="C95" s="1" t="s">
        <v>64</v>
      </c>
      <c r="D95" s="0" t="n">
        <v>297</v>
      </c>
      <c r="E95" s="1" t="s">
        <v>118</v>
      </c>
      <c r="F95" s="0" t="n">
        <f aca="false">SUMIFS(출고!$F$2:$F$1167,출고!$B$2:$B$1167,B95,출고!$C$2:$C$1167,C95)/SUMIFS(출고!$D$2:$D$1167,출고!$B$2:$B$1167,B95,출고!$C$2:$C$1167,C95)</f>
        <v>11660.5207328833</v>
      </c>
      <c r="G95" s="0" t="n">
        <f aca="false">D95*F95</f>
        <v>3463174.65766635</v>
      </c>
      <c r="H95" s="0" t="n">
        <f aca="false">INDEX(마스터!$E:$E,MATCH(C95,마스터!$A:$A,0))</f>
        <v>5890</v>
      </c>
      <c r="I95" s="0" t="n">
        <f aca="false">IF(OR(E95="개정판교체",E95="파본"),0,D95*H95)</f>
        <v>0</v>
      </c>
    </row>
    <row r="96" customFormat="false" ht="15" hidden="false" customHeight="false" outlineLevel="0" collapsed="false">
      <c r="A96" s="0" t="s">
        <v>87</v>
      </c>
      <c r="B96" s="1" t="s">
        <v>20</v>
      </c>
      <c r="C96" s="1" t="s">
        <v>68</v>
      </c>
      <c r="D96" s="0" t="n">
        <v>892</v>
      </c>
      <c r="E96" s="1" t="s">
        <v>117</v>
      </c>
      <c r="F96" s="0" t="n">
        <f aca="false">SUMIFS(출고!$F$2:$F$1167,출고!$B$2:$B$1167,B96,출고!$C$2:$C$1167,C96)/SUMIFS(출고!$D$2:$D$1167,출고!$B$2:$B$1167,B96,출고!$C$2:$C$1167,C96)</f>
        <v>10601.9769119769</v>
      </c>
      <c r="G96" s="0" t="n">
        <f aca="false">D96*F96</f>
        <v>9456963.40548341</v>
      </c>
      <c r="H96" s="0" t="n">
        <f aca="false">INDEX(마스터!$E:$E,MATCH(C96,마스터!$A:$A,0))</f>
        <v>4880</v>
      </c>
      <c r="I96" s="0" t="n">
        <f aca="false">IF(OR(E96="개정판교체",E96="파본"),0,D96*H96)</f>
        <v>4352960</v>
      </c>
    </row>
    <row r="97" customFormat="false" ht="15" hidden="false" customHeight="false" outlineLevel="0" collapsed="false">
      <c r="A97" s="0" t="s">
        <v>87</v>
      </c>
      <c r="B97" s="1" t="s">
        <v>21</v>
      </c>
      <c r="C97" s="1" t="s">
        <v>67</v>
      </c>
      <c r="D97" s="0" t="n">
        <v>1462</v>
      </c>
      <c r="E97" s="1" t="s">
        <v>116</v>
      </c>
      <c r="F97" s="0" t="n">
        <f aca="false">SUMIFS(출고!$F$2:$F$1167,출고!$B$2:$B$1167,B97,출고!$C$2:$C$1167,C97)/SUMIFS(출고!$D$2:$D$1167,출고!$B$2:$B$1167,B97,출고!$C$2:$C$1167,C97)</f>
        <v>9801.22335495829</v>
      </c>
      <c r="G97" s="0" t="n">
        <f aca="false">D97*F97</f>
        <v>14329388.544949</v>
      </c>
      <c r="H97" s="0" t="n">
        <f aca="false">INDEX(마스터!$E:$E,MATCH(C97,마스터!$A:$A,0))</f>
        <v>4360</v>
      </c>
      <c r="I97" s="0" t="n">
        <f aca="false">IF(OR(E97="개정판교체",E97="파본"),0,D97*H97)</f>
        <v>6374320</v>
      </c>
    </row>
    <row r="98" customFormat="false" ht="15" hidden="false" customHeight="false" outlineLevel="0" collapsed="false">
      <c r="A98" s="0" t="s">
        <v>87</v>
      </c>
      <c r="B98" s="1" t="s">
        <v>22</v>
      </c>
      <c r="C98" s="1" t="s">
        <v>48</v>
      </c>
      <c r="D98" s="0" t="n">
        <v>592</v>
      </c>
      <c r="E98" s="1" t="s">
        <v>116</v>
      </c>
      <c r="F98" s="0" t="n">
        <f aca="false">SUMIFS(출고!$F$2:$F$1167,출고!$B$2:$B$1167,B98,출고!$C$2:$C$1167,C98)/SUMIFS(출고!$D$2:$D$1167,출고!$B$2:$B$1167,B98,출고!$C$2:$C$1167,C98)</f>
        <v>12977.3781902552</v>
      </c>
      <c r="G98" s="0" t="n">
        <f aca="false">D98*F98</f>
        <v>7682607.88863109</v>
      </c>
      <c r="H98" s="0" t="n">
        <f aca="false">INDEX(마스터!$E:$E,MATCH(C98,마스터!$A:$A,0))</f>
        <v>6440</v>
      </c>
      <c r="I98" s="0" t="n">
        <f aca="false">IF(OR(E98="개정판교체",E98="파본"),0,D98*H98)</f>
        <v>3812480</v>
      </c>
    </row>
    <row r="99" customFormat="false" ht="15" hidden="false" customHeight="false" outlineLevel="0" collapsed="false">
      <c r="A99" s="0" t="s">
        <v>87</v>
      </c>
      <c r="B99" s="1" t="s">
        <v>22</v>
      </c>
      <c r="C99" s="1" t="s">
        <v>48</v>
      </c>
      <c r="D99" s="0" t="n">
        <v>520</v>
      </c>
      <c r="E99" s="1" t="s">
        <v>117</v>
      </c>
      <c r="F99" s="0" t="n">
        <f aca="false">SUMIFS(출고!$F$2:$F$1167,출고!$B$2:$B$1167,B99,출고!$C$2:$C$1167,C99)/SUMIFS(출고!$D$2:$D$1167,출고!$B$2:$B$1167,B99,출고!$C$2:$C$1167,C99)</f>
        <v>12977.3781902552</v>
      </c>
      <c r="G99" s="0" t="n">
        <f aca="false">D99*F99</f>
        <v>6748236.65893272</v>
      </c>
      <c r="H99" s="0" t="n">
        <f aca="false">INDEX(마스터!$E:$E,MATCH(C99,마스터!$A:$A,0))</f>
        <v>6440</v>
      </c>
      <c r="I99" s="0" t="n">
        <f aca="false">IF(OR(E99="개정판교체",E99="파본"),0,D99*H99)</f>
        <v>3348800</v>
      </c>
    </row>
    <row r="100" customFormat="false" ht="15" hidden="false" customHeight="false" outlineLevel="0" collapsed="false">
      <c r="A100" s="0" t="s">
        <v>87</v>
      </c>
      <c r="B100" s="1" t="s">
        <v>22</v>
      </c>
      <c r="C100" s="1" t="s">
        <v>48</v>
      </c>
      <c r="D100" s="0" t="n">
        <v>947</v>
      </c>
      <c r="E100" s="1" t="s">
        <v>118</v>
      </c>
      <c r="F100" s="0" t="n">
        <f aca="false">SUMIFS(출고!$F$2:$F$1167,출고!$B$2:$B$1167,B100,출고!$C$2:$C$1167,C100)/SUMIFS(출고!$D$2:$D$1167,출고!$B$2:$B$1167,B100,출고!$C$2:$C$1167,C100)</f>
        <v>12977.3781902552</v>
      </c>
      <c r="G100" s="0" t="n">
        <f aca="false">D100*F100</f>
        <v>12289577.1461717</v>
      </c>
      <c r="H100" s="0" t="n">
        <f aca="false">INDEX(마스터!$E:$E,MATCH(C100,마스터!$A:$A,0))</f>
        <v>6440</v>
      </c>
      <c r="I100" s="0" t="n">
        <f aca="false">IF(OR(E100="개정판교체",E100="파본"),0,D100*H100)</f>
        <v>0</v>
      </c>
    </row>
    <row r="101" customFormat="false" ht="15" hidden="false" customHeight="false" outlineLevel="0" collapsed="false">
      <c r="A101" s="0" t="s">
        <v>87</v>
      </c>
      <c r="B101" s="1" t="s">
        <v>23</v>
      </c>
      <c r="C101" s="1" t="s">
        <v>42</v>
      </c>
      <c r="D101" s="0" t="n">
        <v>551</v>
      </c>
      <c r="E101" s="1" t="s">
        <v>119</v>
      </c>
      <c r="F101" s="0" t="n">
        <f aca="false">SUMIFS(출고!$F$2:$F$1167,출고!$B$2:$B$1167,B101,출고!$C$2:$C$1167,C101)/SUMIFS(출고!$D$2:$D$1167,출고!$B$2:$B$1167,B101,출고!$C$2:$C$1167,C101)</f>
        <v>13257.2583608967</v>
      </c>
      <c r="G101" s="0" t="n">
        <f aca="false">D101*F101</f>
        <v>7304749.3568541</v>
      </c>
      <c r="H101" s="0" t="n">
        <f aca="false">INDEX(마스터!$E:$E,MATCH(C101,마스터!$A:$A,0))</f>
        <v>6730</v>
      </c>
      <c r="I101" s="0" t="n">
        <f aca="false">IF(OR(E101="개정판교체",E101="파본"),0,D101*H101)</f>
        <v>3708230</v>
      </c>
    </row>
    <row r="102" customFormat="false" ht="15" hidden="false" customHeight="false" outlineLevel="0" collapsed="false">
      <c r="A102" s="0" t="s">
        <v>87</v>
      </c>
      <c r="B102" s="1" t="s">
        <v>23</v>
      </c>
      <c r="C102" s="1" t="s">
        <v>42</v>
      </c>
      <c r="D102" s="0" t="n">
        <v>605</v>
      </c>
      <c r="E102" s="1" t="s">
        <v>117</v>
      </c>
      <c r="F102" s="0" t="n">
        <f aca="false">SUMIFS(출고!$F$2:$F$1167,출고!$B$2:$B$1167,B102,출고!$C$2:$C$1167,C102)/SUMIFS(출고!$D$2:$D$1167,출고!$B$2:$B$1167,B102,출고!$C$2:$C$1167,C102)</f>
        <v>13257.2583608967</v>
      </c>
      <c r="G102" s="0" t="n">
        <f aca="false">D102*F102</f>
        <v>8020641.30834252</v>
      </c>
      <c r="H102" s="0" t="n">
        <f aca="false">INDEX(마스터!$E:$E,MATCH(C102,마스터!$A:$A,0))</f>
        <v>6730</v>
      </c>
      <c r="I102" s="0" t="n">
        <f aca="false">IF(OR(E102="개정판교체",E102="파본"),0,D102*H102)</f>
        <v>4071650</v>
      </c>
    </row>
    <row r="103" customFormat="false" ht="15" hidden="false" customHeight="false" outlineLevel="0" collapsed="false">
      <c r="A103" s="0" t="s">
        <v>87</v>
      </c>
      <c r="B103" s="1" t="s">
        <v>23</v>
      </c>
      <c r="C103" s="1" t="s">
        <v>42</v>
      </c>
      <c r="D103" s="0" t="n">
        <v>708</v>
      </c>
      <c r="E103" s="1" t="s">
        <v>118</v>
      </c>
      <c r="F103" s="0" t="n">
        <f aca="false">SUMIFS(출고!$F$2:$F$1167,출고!$B$2:$B$1167,B103,출고!$C$2:$C$1167,C103)/SUMIFS(출고!$D$2:$D$1167,출고!$B$2:$B$1167,B103,출고!$C$2:$C$1167,C103)</f>
        <v>13257.2583608967</v>
      </c>
      <c r="G103" s="0" t="n">
        <f aca="false">D103*F103</f>
        <v>9386138.91951488</v>
      </c>
      <c r="H103" s="0" t="n">
        <f aca="false">INDEX(마스터!$E:$E,MATCH(C103,마스터!$A:$A,0))</f>
        <v>6730</v>
      </c>
      <c r="I103" s="0" t="n">
        <f aca="false">IF(OR(E103="개정판교체",E103="파본"),0,D103*H103)</f>
        <v>0</v>
      </c>
    </row>
    <row r="104" customFormat="false" ht="15" hidden="false" customHeight="false" outlineLevel="0" collapsed="false">
      <c r="A104" s="0" t="s">
        <v>87</v>
      </c>
      <c r="B104" s="1" t="s">
        <v>25</v>
      </c>
      <c r="C104" s="1" t="s">
        <v>37</v>
      </c>
      <c r="D104" s="0" t="n">
        <v>1063</v>
      </c>
      <c r="E104" s="1" t="s">
        <v>117</v>
      </c>
      <c r="F104" s="0" t="n">
        <f aca="false">SUMIFS(출고!$F$2:$F$1167,출고!$B$2:$B$1167,B104,출고!$C$2:$C$1167,C104)/SUMIFS(출고!$D$2:$D$1167,출고!$B$2:$B$1167,B104,출고!$C$2:$C$1167,C104)</f>
        <v>10496.6887661142</v>
      </c>
      <c r="G104" s="0" t="n">
        <f aca="false">D104*F104</f>
        <v>11157980.1583794</v>
      </c>
      <c r="H104" s="0" t="n">
        <f aca="false">INDEX(마스터!$E:$E,MATCH(C104,마스터!$A:$A,0))</f>
        <v>4900</v>
      </c>
      <c r="I104" s="0" t="n">
        <f aca="false">IF(OR(E104="개정판교체",E104="파본"),0,D104*H104)</f>
        <v>5208700</v>
      </c>
    </row>
    <row r="105" customFormat="false" ht="15" hidden="false" customHeight="false" outlineLevel="0" collapsed="false">
      <c r="A105" s="0" t="s">
        <v>87</v>
      </c>
      <c r="B105" s="1" t="s">
        <v>24</v>
      </c>
      <c r="C105" s="1" t="s">
        <v>42</v>
      </c>
      <c r="D105" s="0" t="n">
        <v>927</v>
      </c>
      <c r="E105" s="1" t="s">
        <v>116</v>
      </c>
      <c r="F105" s="0" t="n">
        <f aca="false">SUMIFS(출고!$F$2:$F$1167,출고!$B$2:$B$1167,B105,출고!$C$2:$C$1167,C105)/SUMIFS(출고!$D$2:$D$1167,출고!$B$2:$B$1167,B105,출고!$C$2:$C$1167,C105)</f>
        <v>13332.4887780549</v>
      </c>
      <c r="G105" s="0" t="n">
        <f aca="false">D105*F105</f>
        <v>12359217.0972569</v>
      </c>
      <c r="H105" s="0" t="n">
        <f aca="false">INDEX(마스터!$E:$E,MATCH(C105,마스터!$A:$A,0))</f>
        <v>6730</v>
      </c>
      <c r="I105" s="0" t="n">
        <f aca="false">IF(OR(E105="개정판교체",E105="파본"),0,D105*H105)</f>
        <v>6238710</v>
      </c>
    </row>
    <row r="106" customFormat="false" ht="15" hidden="false" customHeight="false" outlineLevel="0" collapsed="false">
      <c r="A106" s="0" t="s">
        <v>87</v>
      </c>
      <c r="B106" s="1" t="s">
        <v>24</v>
      </c>
      <c r="C106" s="1" t="s">
        <v>42</v>
      </c>
      <c r="D106" s="0" t="n">
        <v>568</v>
      </c>
      <c r="E106" s="1" t="s">
        <v>118</v>
      </c>
      <c r="F106" s="0" t="n">
        <f aca="false">SUMIFS(출고!$F$2:$F$1167,출고!$B$2:$B$1167,B106,출고!$C$2:$C$1167,C106)/SUMIFS(출고!$D$2:$D$1167,출고!$B$2:$B$1167,B106,출고!$C$2:$C$1167,C106)</f>
        <v>13332.4887780549</v>
      </c>
      <c r="G106" s="0" t="n">
        <f aca="false">D106*F106</f>
        <v>7572853.62593516</v>
      </c>
      <c r="H106" s="0" t="n">
        <f aca="false">INDEX(마스터!$E:$E,MATCH(C106,마스터!$A:$A,0))</f>
        <v>6730</v>
      </c>
      <c r="I106" s="0" t="n">
        <f aca="false">IF(OR(E106="개정판교체",E106="파본"),0,D106*H106)</f>
        <v>0</v>
      </c>
    </row>
    <row r="107" customFormat="false" ht="15" hidden="false" customHeight="false" outlineLevel="0" collapsed="false">
      <c r="A107" s="0" t="s">
        <v>89</v>
      </c>
      <c r="B107" s="1" t="s">
        <v>14</v>
      </c>
      <c r="C107" s="1" t="s">
        <v>38</v>
      </c>
      <c r="D107" s="0" t="n">
        <v>5786</v>
      </c>
      <c r="E107" s="1" t="s">
        <v>120</v>
      </c>
      <c r="F107" s="0" t="n">
        <f aca="false">SUMIFS(출고!$F$2:$F$1167,출고!$B$2:$B$1167,B107,출고!$C$2:$C$1167,C107)/SUMIFS(출고!$D$2:$D$1167,출고!$B$2:$B$1167,B107,출고!$C$2:$C$1167,C107)</f>
        <v>11280.897005988</v>
      </c>
      <c r="G107" s="0" t="n">
        <f aca="false">D107*F107</f>
        <v>65271270.0766467</v>
      </c>
      <c r="H107" s="0" t="n">
        <f aca="false">INDEX(마스터!$E:$E,MATCH(C107,마스터!$A:$A,0))</f>
        <v>5670</v>
      </c>
      <c r="I107" s="0" t="n">
        <f aca="false">IF(OR(E107="개정판교체",E107="파본"),0,D107*H107)</f>
        <v>0</v>
      </c>
    </row>
    <row r="108" customFormat="false" ht="15" hidden="false" customHeight="false" outlineLevel="0" collapsed="false">
      <c r="A108" s="0" t="s">
        <v>89</v>
      </c>
      <c r="B108" s="1" t="s">
        <v>14</v>
      </c>
      <c r="C108" s="1" t="s">
        <v>38</v>
      </c>
      <c r="D108" s="0" t="n">
        <v>4527</v>
      </c>
      <c r="E108" s="1" t="s">
        <v>116</v>
      </c>
      <c r="F108" s="0" t="n">
        <f aca="false">SUMIFS(출고!$F$2:$F$1167,출고!$B$2:$B$1167,B108,출고!$C$2:$C$1167,C108)/SUMIFS(출고!$D$2:$D$1167,출고!$B$2:$B$1167,B108,출고!$C$2:$C$1167,C108)</f>
        <v>11280.897005988</v>
      </c>
      <c r="G108" s="0" t="n">
        <f aca="false">D108*F108</f>
        <v>51068620.7461078</v>
      </c>
      <c r="H108" s="0" t="n">
        <f aca="false">INDEX(마스터!$E:$E,MATCH(C108,마스터!$A:$A,0))</f>
        <v>5670</v>
      </c>
      <c r="I108" s="0" t="n">
        <f aca="false">IF(OR(E108="개정판교체",E108="파본"),0,D108*H108)</f>
        <v>25668090</v>
      </c>
    </row>
    <row r="109" customFormat="false" ht="15" hidden="false" customHeight="false" outlineLevel="0" collapsed="false">
      <c r="A109" s="0" t="s">
        <v>89</v>
      </c>
      <c r="B109" s="1" t="s">
        <v>14</v>
      </c>
      <c r="C109" s="1" t="s">
        <v>34</v>
      </c>
      <c r="D109" s="0" t="n">
        <v>1929</v>
      </c>
      <c r="E109" s="1" t="s">
        <v>116</v>
      </c>
      <c r="F109" s="0" t="n">
        <f aca="false">SUMIFS(출고!$F$2:$F$1167,출고!$B$2:$B$1167,B109,출고!$C$2:$C$1167,C109)/SUMIFS(출고!$D$2:$D$1167,출고!$B$2:$B$1167,B109,출고!$C$2:$C$1167,C109)</f>
        <v>11933.4980673661</v>
      </c>
      <c r="G109" s="0" t="n">
        <f aca="false">D109*F109</f>
        <v>23019717.7719492</v>
      </c>
      <c r="H109" s="0" t="n">
        <f aca="false">INDEX(마스터!$E:$E,MATCH(C109,마스터!$A:$A,0))</f>
        <v>6630</v>
      </c>
      <c r="I109" s="0" t="n">
        <f aca="false">IF(OR(E109="개정판교체",E109="파본"),0,D109*H109)</f>
        <v>12789270</v>
      </c>
    </row>
    <row r="110" customFormat="false" ht="15" hidden="false" customHeight="false" outlineLevel="0" collapsed="false">
      <c r="A110" s="0" t="s">
        <v>89</v>
      </c>
      <c r="B110" s="1" t="s">
        <v>14</v>
      </c>
      <c r="C110" s="1" t="s">
        <v>34</v>
      </c>
      <c r="D110" s="0" t="n">
        <v>1516</v>
      </c>
      <c r="E110" s="1" t="s">
        <v>118</v>
      </c>
      <c r="F110" s="0" t="n">
        <f aca="false">SUMIFS(출고!$F$2:$F$1167,출고!$B$2:$B$1167,B110,출고!$C$2:$C$1167,C110)/SUMIFS(출고!$D$2:$D$1167,출고!$B$2:$B$1167,B110,출고!$C$2:$C$1167,C110)</f>
        <v>11933.4980673661</v>
      </c>
      <c r="G110" s="0" t="n">
        <f aca="false">D110*F110</f>
        <v>18091183.070127</v>
      </c>
      <c r="H110" s="0" t="n">
        <f aca="false">INDEX(마스터!$E:$E,MATCH(C110,마스터!$A:$A,0))</f>
        <v>6630</v>
      </c>
      <c r="I110" s="0" t="n">
        <f aca="false">IF(OR(E110="개정판교체",E110="파본"),0,D110*H110)</f>
        <v>0</v>
      </c>
    </row>
    <row r="111" customFormat="false" ht="15" hidden="false" customHeight="false" outlineLevel="0" collapsed="false">
      <c r="A111" s="0" t="s">
        <v>89</v>
      </c>
      <c r="B111" s="1" t="s">
        <v>14</v>
      </c>
      <c r="C111" s="1" t="s">
        <v>48</v>
      </c>
      <c r="D111" s="0" t="n">
        <v>2373</v>
      </c>
      <c r="E111" s="1" t="s">
        <v>116</v>
      </c>
      <c r="F111" s="0" t="n">
        <f aca="false">SUMIFS(출고!$F$2:$F$1167,출고!$B$2:$B$1167,B111,출고!$C$2:$C$1167,C111)/SUMIFS(출고!$D$2:$D$1167,출고!$B$2:$B$1167,B111,출고!$C$2:$C$1167,C111)</f>
        <v>11921.7601459188</v>
      </c>
      <c r="G111" s="0" t="n">
        <f aca="false">D111*F111</f>
        <v>28290336.8262654</v>
      </c>
      <c r="H111" s="0" t="n">
        <f aca="false">INDEX(마스터!$E:$E,MATCH(C111,마스터!$A:$A,0))</f>
        <v>6440</v>
      </c>
      <c r="I111" s="0" t="n">
        <f aca="false">IF(OR(E111="개정판교체",E111="파본"),0,D111*H111)</f>
        <v>15282120</v>
      </c>
    </row>
    <row r="112" customFormat="false" ht="15" hidden="false" customHeight="false" outlineLevel="0" collapsed="false">
      <c r="A112" s="0" t="s">
        <v>89</v>
      </c>
      <c r="B112" s="1" t="s">
        <v>14</v>
      </c>
      <c r="C112" s="1" t="s">
        <v>48</v>
      </c>
      <c r="D112" s="0" t="n">
        <v>2022</v>
      </c>
      <c r="E112" s="1" t="s">
        <v>118</v>
      </c>
      <c r="F112" s="0" t="n">
        <f aca="false">SUMIFS(출고!$F$2:$F$1167,출고!$B$2:$B$1167,B112,출고!$C$2:$C$1167,C112)/SUMIFS(출고!$D$2:$D$1167,출고!$B$2:$B$1167,B112,출고!$C$2:$C$1167,C112)</f>
        <v>11921.7601459188</v>
      </c>
      <c r="G112" s="0" t="n">
        <f aca="false">D112*F112</f>
        <v>24105799.0150479</v>
      </c>
      <c r="H112" s="0" t="n">
        <f aca="false">INDEX(마스터!$E:$E,MATCH(C112,마스터!$A:$A,0))</f>
        <v>6440</v>
      </c>
      <c r="I112" s="0" t="n">
        <f aca="false">IF(OR(E112="개정판교체",E112="파본"),0,D112*H112)</f>
        <v>0</v>
      </c>
    </row>
    <row r="113" customFormat="false" ht="15" hidden="false" customHeight="false" outlineLevel="0" collapsed="false">
      <c r="A113" s="0" t="s">
        <v>89</v>
      </c>
      <c r="B113" s="1" t="s">
        <v>15</v>
      </c>
      <c r="C113" s="1" t="s">
        <v>38</v>
      </c>
      <c r="D113" s="0" t="n">
        <v>3499</v>
      </c>
      <c r="E113" s="1" t="s">
        <v>120</v>
      </c>
      <c r="F113" s="0" t="n">
        <f aca="false">SUMIFS(출고!$F$2:$F$1167,출고!$B$2:$B$1167,B113,출고!$C$2:$C$1167,C113)/SUMIFS(출고!$D$2:$D$1167,출고!$B$2:$B$1167,B113,출고!$C$2:$C$1167,C113)</f>
        <v>11377.4589032501</v>
      </c>
      <c r="G113" s="0" t="n">
        <f aca="false">D113*F113</f>
        <v>39809728.7024721</v>
      </c>
      <c r="H113" s="0" t="n">
        <f aca="false">INDEX(마스터!$E:$E,MATCH(C113,마스터!$A:$A,0))</f>
        <v>5670</v>
      </c>
      <c r="I113" s="0" t="n">
        <f aca="false">IF(OR(E113="개정판교체",E113="파본"),0,D113*H113)</f>
        <v>0</v>
      </c>
    </row>
    <row r="114" customFormat="false" ht="15" hidden="false" customHeight="false" outlineLevel="0" collapsed="false">
      <c r="A114" s="0" t="s">
        <v>89</v>
      </c>
      <c r="B114" s="1" t="s">
        <v>15</v>
      </c>
      <c r="C114" s="1" t="s">
        <v>38</v>
      </c>
      <c r="D114" s="0" t="n">
        <v>617</v>
      </c>
      <c r="E114" s="1" t="s">
        <v>116</v>
      </c>
      <c r="F114" s="0" t="n">
        <f aca="false">SUMIFS(출고!$F$2:$F$1167,출고!$B$2:$B$1167,B114,출고!$C$2:$C$1167,C114)/SUMIFS(출고!$D$2:$D$1167,출고!$B$2:$B$1167,B114,출고!$C$2:$C$1167,C114)</f>
        <v>11377.4589032501</v>
      </c>
      <c r="G114" s="0" t="n">
        <f aca="false">D114*F114</f>
        <v>7019892.14330531</v>
      </c>
      <c r="H114" s="0" t="n">
        <f aca="false">INDEX(마스터!$E:$E,MATCH(C114,마스터!$A:$A,0))</f>
        <v>5670</v>
      </c>
      <c r="I114" s="0" t="n">
        <f aca="false">IF(OR(E114="개정판교체",E114="파본"),0,D114*H114)</f>
        <v>3498390</v>
      </c>
    </row>
    <row r="115" customFormat="false" ht="15" hidden="false" customHeight="false" outlineLevel="0" collapsed="false">
      <c r="A115" s="0" t="s">
        <v>89</v>
      </c>
      <c r="B115" s="1" t="s">
        <v>15</v>
      </c>
      <c r="C115" s="1" t="s">
        <v>55</v>
      </c>
      <c r="D115" s="0" t="n">
        <v>892</v>
      </c>
      <c r="E115" s="1" t="s">
        <v>116</v>
      </c>
      <c r="F115" s="0" t="n">
        <f aca="false">SUMIFS(출고!$F$2:$F$1167,출고!$B$2:$B$1167,B115,출고!$C$2:$C$1167,C115)/SUMIFS(출고!$D$2:$D$1167,출고!$B$2:$B$1167,B115,출고!$C$2:$C$1167,C115)</f>
        <v>12013.969550687</v>
      </c>
      <c r="G115" s="0" t="n">
        <f aca="false">D115*F115</f>
        <v>10716460.8392128</v>
      </c>
      <c r="H115" s="0" t="n">
        <f aca="false">INDEX(마스터!$E:$E,MATCH(C115,마스터!$A:$A,0))</f>
        <v>6040</v>
      </c>
      <c r="I115" s="0" t="n">
        <f aca="false">IF(OR(E115="개정판교체",E115="파본"),0,D115*H115)</f>
        <v>5387680</v>
      </c>
    </row>
    <row r="116" customFormat="false" ht="15" hidden="false" customHeight="false" outlineLevel="0" collapsed="false">
      <c r="A116" s="0" t="s">
        <v>89</v>
      </c>
      <c r="B116" s="1" t="s">
        <v>15</v>
      </c>
      <c r="C116" s="1" t="s">
        <v>55</v>
      </c>
      <c r="D116" s="0" t="n">
        <v>481</v>
      </c>
      <c r="E116" s="1" t="s">
        <v>118</v>
      </c>
      <c r="F116" s="0" t="n">
        <f aca="false">SUMIFS(출고!$F$2:$F$1167,출고!$B$2:$B$1167,B116,출고!$C$2:$C$1167,C116)/SUMIFS(출고!$D$2:$D$1167,출고!$B$2:$B$1167,B116,출고!$C$2:$C$1167,C116)</f>
        <v>12013.969550687</v>
      </c>
      <c r="G116" s="0" t="n">
        <f aca="false">D116*F116</f>
        <v>5778719.35388043</v>
      </c>
      <c r="H116" s="0" t="n">
        <f aca="false">INDEX(마스터!$E:$E,MATCH(C116,마스터!$A:$A,0))</f>
        <v>6040</v>
      </c>
      <c r="I116" s="0" t="n">
        <f aca="false">IF(OR(E116="개정판교체",E116="파본"),0,D116*H116)</f>
        <v>0</v>
      </c>
    </row>
    <row r="117" customFormat="false" ht="15" hidden="false" customHeight="false" outlineLevel="0" collapsed="false">
      <c r="A117" s="0" t="s">
        <v>89</v>
      </c>
      <c r="B117" s="1" t="s">
        <v>15</v>
      </c>
      <c r="C117" s="1" t="s">
        <v>66</v>
      </c>
      <c r="D117" s="0" t="n">
        <v>1519</v>
      </c>
      <c r="E117" s="1" t="s">
        <v>117</v>
      </c>
      <c r="F117" s="0" t="n">
        <f aca="false">SUMIFS(출고!$F$2:$F$1167,출고!$B$2:$B$1167,B117,출고!$C$2:$C$1167,C117)/SUMIFS(출고!$D$2:$D$1167,출고!$B$2:$B$1167,B117,출고!$C$2:$C$1167,C117)</f>
        <v>12030.3590777372</v>
      </c>
      <c r="G117" s="0" t="n">
        <f aca="false">D117*F117</f>
        <v>18274115.4390828</v>
      </c>
      <c r="H117" s="0" t="n">
        <f aca="false">INDEX(마스터!$E:$E,MATCH(C117,마스터!$A:$A,0))</f>
        <v>6360</v>
      </c>
      <c r="I117" s="0" t="n">
        <f aca="false">IF(OR(E117="개정판교체",E117="파본"),0,D117*H117)</f>
        <v>9660840</v>
      </c>
    </row>
    <row r="118" customFormat="false" ht="15" hidden="false" customHeight="false" outlineLevel="0" collapsed="false">
      <c r="A118" s="0" t="s">
        <v>89</v>
      </c>
      <c r="B118" s="1" t="s">
        <v>16</v>
      </c>
      <c r="C118" s="1" t="s">
        <v>37</v>
      </c>
      <c r="D118" s="0" t="n">
        <v>768</v>
      </c>
      <c r="E118" s="1" t="s">
        <v>117</v>
      </c>
      <c r="F118" s="0" t="n">
        <f aca="false">SUMIFS(출고!$F$2:$F$1167,출고!$B$2:$B$1167,B118,출고!$C$2:$C$1167,C118)/SUMIFS(출고!$D$2:$D$1167,출고!$B$2:$B$1167,B118,출고!$C$2:$C$1167,C118)</f>
        <v>10591.9204222493</v>
      </c>
      <c r="G118" s="0" t="n">
        <f aca="false">D118*F118</f>
        <v>8134594.88428745</v>
      </c>
      <c r="H118" s="0" t="n">
        <f aca="false">INDEX(마스터!$E:$E,MATCH(C118,마스터!$A:$A,0))</f>
        <v>4900</v>
      </c>
      <c r="I118" s="0" t="n">
        <f aca="false">IF(OR(E118="개정판교체",E118="파본"),0,D118*H118)</f>
        <v>3763200</v>
      </c>
    </row>
    <row r="119" customFormat="false" ht="15" hidden="false" customHeight="false" outlineLevel="0" collapsed="false">
      <c r="A119" s="0" t="s">
        <v>89</v>
      </c>
      <c r="B119" s="1" t="s">
        <v>16</v>
      </c>
      <c r="C119" s="1" t="s">
        <v>38</v>
      </c>
      <c r="D119" s="0" t="n">
        <v>1868</v>
      </c>
      <c r="E119" s="1" t="s">
        <v>120</v>
      </c>
      <c r="F119" s="0" t="n">
        <f aca="false">SUMIFS(출고!$F$2:$F$1167,출고!$B$2:$B$1167,B119,출고!$C$2:$C$1167,C119)/SUMIFS(출고!$D$2:$D$1167,출고!$B$2:$B$1167,B119,출고!$C$2:$C$1167,C119)</f>
        <v>12452.79296875</v>
      </c>
      <c r="G119" s="0" t="n">
        <f aca="false">D119*F119</f>
        <v>23261817.265625</v>
      </c>
      <c r="H119" s="0" t="n">
        <f aca="false">INDEX(마스터!$E:$E,MATCH(C119,마스터!$A:$A,0))</f>
        <v>5670</v>
      </c>
      <c r="I119" s="0" t="n">
        <f aca="false">IF(OR(E119="개정판교체",E119="파본"),0,D119*H119)</f>
        <v>0</v>
      </c>
    </row>
    <row r="120" customFormat="false" ht="15" hidden="false" customHeight="false" outlineLevel="0" collapsed="false">
      <c r="A120" s="0" t="s">
        <v>89</v>
      </c>
      <c r="B120" s="1" t="s">
        <v>16</v>
      </c>
      <c r="C120" s="1" t="s">
        <v>38</v>
      </c>
      <c r="D120" s="0" t="n">
        <v>690</v>
      </c>
      <c r="E120" s="1" t="s">
        <v>116</v>
      </c>
      <c r="F120" s="0" t="n">
        <f aca="false">SUMIFS(출고!$F$2:$F$1167,출고!$B$2:$B$1167,B120,출고!$C$2:$C$1167,C120)/SUMIFS(출고!$D$2:$D$1167,출고!$B$2:$B$1167,B120,출고!$C$2:$C$1167,C120)</f>
        <v>12452.79296875</v>
      </c>
      <c r="G120" s="0" t="n">
        <f aca="false">D120*F120</f>
        <v>8592427.1484375</v>
      </c>
      <c r="H120" s="0" t="n">
        <f aca="false">INDEX(마스터!$E:$E,MATCH(C120,마스터!$A:$A,0))</f>
        <v>5670</v>
      </c>
      <c r="I120" s="0" t="n">
        <f aca="false">IF(OR(E120="개정판교체",E120="파본"),0,D120*H120)</f>
        <v>3912300</v>
      </c>
    </row>
    <row r="121" customFormat="false" ht="15" hidden="false" customHeight="false" outlineLevel="0" collapsed="false">
      <c r="A121" s="0" t="s">
        <v>89</v>
      </c>
      <c r="B121" s="1" t="s">
        <v>17</v>
      </c>
      <c r="C121" s="1" t="s">
        <v>38</v>
      </c>
      <c r="D121" s="0" t="n">
        <v>2322</v>
      </c>
      <c r="E121" s="1" t="s">
        <v>120</v>
      </c>
      <c r="F121" s="0" t="n">
        <f aca="false">SUMIFS(출고!$F$2:$F$1167,출고!$B$2:$B$1167,B121,출고!$C$2:$C$1167,C121)/SUMIFS(출고!$D$2:$D$1167,출고!$B$2:$B$1167,B121,출고!$C$2:$C$1167,C121)</f>
        <v>11290.7279191617</v>
      </c>
      <c r="G121" s="0" t="n">
        <f aca="false">D121*F121</f>
        <v>26217070.2282934</v>
      </c>
      <c r="H121" s="0" t="n">
        <f aca="false">INDEX(마스터!$E:$E,MATCH(C121,마스터!$A:$A,0))</f>
        <v>5670</v>
      </c>
      <c r="I121" s="0" t="n">
        <f aca="false">IF(OR(E121="개정판교체",E121="파본"),0,D121*H121)</f>
        <v>0</v>
      </c>
    </row>
    <row r="122" customFormat="false" ht="15" hidden="false" customHeight="false" outlineLevel="0" collapsed="false">
      <c r="A122" s="0" t="s">
        <v>89</v>
      </c>
      <c r="B122" s="1" t="s">
        <v>17</v>
      </c>
      <c r="C122" s="1" t="s">
        <v>38</v>
      </c>
      <c r="D122" s="0" t="n">
        <v>410</v>
      </c>
      <c r="E122" s="1" t="s">
        <v>116</v>
      </c>
      <c r="F122" s="0" t="n">
        <f aca="false">SUMIFS(출고!$F$2:$F$1167,출고!$B$2:$B$1167,B122,출고!$C$2:$C$1167,C122)/SUMIFS(출고!$D$2:$D$1167,출고!$B$2:$B$1167,B122,출고!$C$2:$C$1167,C122)</f>
        <v>11290.7279191617</v>
      </c>
      <c r="G122" s="0" t="n">
        <f aca="false">D122*F122</f>
        <v>4629198.44685629</v>
      </c>
      <c r="H122" s="0" t="n">
        <f aca="false">INDEX(마스터!$E:$E,MATCH(C122,마스터!$A:$A,0))</f>
        <v>5670</v>
      </c>
      <c r="I122" s="0" t="n">
        <f aca="false">IF(OR(E122="개정판교체",E122="파본"),0,D122*H122)</f>
        <v>2324700</v>
      </c>
    </row>
    <row r="123" customFormat="false" ht="15" hidden="false" customHeight="false" outlineLevel="0" collapsed="false">
      <c r="A123" s="0" t="s">
        <v>89</v>
      </c>
      <c r="B123" s="1" t="s">
        <v>17</v>
      </c>
      <c r="C123" s="1" t="s">
        <v>60</v>
      </c>
      <c r="D123" s="0" t="n">
        <v>1770</v>
      </c>
      <c r="E123" s="1" t="s">
        <v>117</v>
      </c>
      <c r="F123" s="0" t="n">
        <f aca="false">SUMIFS(출고!$F$2:$F$1167,출고!$B$2:$B$1167,B123,출고!$C$2:$C$1167,C123)/SUMIFS(출고!$D$2:$D$1167,출고!$B$2:$B$1167,B123,출고!$C$2:$C$1167,C123)</f>
        <v>12571.1757538836</v>
      </c>
      <c r="G123" s="0" t="n">
        <f aca="false">D123*F123</f>
        <v>22250981.084374</v>
      </c>
      <c r="H123" s="0" t="n">
        <f aca="false">INDEX(마스터!$E:$E,MATCH(C123,마스터!$A:$A,0))</f>
        <v>6980</v>
      </c>
      <c r="I123" s="0" t="n">
        <f aca="false">IF(OR(E123="개정판교체",E123="파본"),0,D123*H123)</f>
        <v>12354600</v>
      </c>
    </row>
    <row r="124" customFormat="false" ht="15" hidden="false" customHeight="false" outlineLevel="0" collapsed="false">
      <c r="A124" s="0" t="s">
        <v>89</v>
      </c>
      <c r="B124" s="1" t="s">
        <v>18</v>
      </c>
      <c r="C124" s="1" t="s">
        <v>58</v>
      </c>
      <c r="D124" s="0" t="n">
        <v>1016</v>
      </c>
      <c r="E124" s="1" t="s">
        <v>117</v>
      </c>
      <c r="F124" s="0" t="n">
        <f aca="false">SUMIFS(출고!$F$2:$F$1167,출고!$B$2:$B$1167,B124,출고!$C$2:$C$1167,C124)/SUMIFS(출고!$D$2:$D$1167,출고!$B$2:$B$1167,B124,출고!$C$2:$C$1167,C124)</f>
        <v>12008.6380072318</v>
      </c>
      <c r="G124" s="0" t="n">
        <f aca="false">D124*F124</f>
        <v>12200776.2153475</v>
      </c>
      <c r="H124" s="0" t="n">
        <f aca="false">INDEX(마스터!$E:$E,MATCH(C124,마스터!$A:$A,0))</f>
        <v>5720</v>
      </c>
      <c r="I124" s="0" t="n">
        <f aca="false">IF(OR(E124="개정판교체",E124="파본"),0,D124*H124)</f>
        <v>5811520</v>
      </c>
    </row>
    <row r="125" customFormat="false" ht="15" hidden="false" customHeight="false" outlineLevel="0" collapsed="false">
      <c r="A125" s="0" t="s">
        <v>89</v>
      </c>
      <c r="B125" s="1" t="s">
        <v>19</v>
      </c>
      <c r="C125" s="1" t="s">
        <v>60</v>
      </c>
      <c r="D125" s="0" t="n">
        <v>947</v>
      </c>
      <c r="E125" s="1" t="s">
        <v>117</v>
      </c>
      <c r="F125" s="0" t="n">
        <f aca="false">SUMIFS(출고!$F$2:$F$1167,출고!$B$2:$B$1167,B125,출고!$C$2:$C$1167,C125)/SUMIFS(출고!$D$2:$D$1167,출고!$B$2:$B$1167,B125,출고!$C$2:$C$1167,C125)</f>
        <v>12638.858151854</v>
      </c>
      <c r="G125" s="0" t="n">
        <f aca="false">D125*F125</f>
        <v>11968998.6698058</v>
      </c>
      <c r="H125" s="0" t="n">
        <f aca="false">INDEX(마스터!$E:$E,MATCH(C125,마스터!$A:$A,0))</f>
        <v>6980</v>
      </c>
      <c r="I125" s="0" t="n">
        <f aca="false">IF(OR(E125="개정판교체",E125="파본"),0,D125*H125)</f>
        <v>6610060</v>
      </c>
    </row>
    <row r="126" customFormat="false" ht="15" hidden="false" customHeight="false" outlineLevel="0" collapsed="false">
      <c r="A126" s="0" t="s">
        <v>89</v>
      </c>
      <c r="B126" s="1" t="s">
        <v>20</v>
      </c>
      <c r="C126" s="1" t="s">
        <v>34</v>
      </c>
      <c r="D126" s="0" t="n">
        <v>477</v>
      </c>
      <c r="E126" s="1" t="s">
        <v>117</v>
      </c>
      <c r="F126" s="0" t="n">
        <f aca="false">SUMIFS(출고!$F$2:$F$1167,출고!$B$2:$B$1167,B126,출고!$C$2:$C$1167,C126)/SUMIFS(출고!$D$2:$D$1167,출고!$B$2:$B$1167,B126,출고!$C$2:$C$1167,C126)</f>
        <v>13181.6268191268</v>
      </c>
      <c r="G126" s="0" t="n">
        <f aca="false">D126*F126</f>
        <v>6287635.99272349</v>
      </c>
      <c r="H126" s="0" t="n">
        <f aca="false">INDEX(마스터!$E:$E,MATCH(C126,마스터!$A:$A,0))</f>
        <v>6630</v>
      </c>
      <c r="I126" s="0" t="n">
        <f aca="false">IF(OR(E126="개정판교체",E126="파본"),0,D126*H126)</f>
        <v>3162510</v>
      </c>
    </row>
    <row r="127" customFormat="false" ht="15" hidden="false" customHeight="false" outlineLevel="0" collapsed="false">
      <c r="A127" s="0" t="s">
        <v>89</v>
      </c>
      <c r="B127" s="1" t="s">
        <v>20</v>
      </c>
      <c r="C127" s="1" t="s">
        <v>34</v>
      </c>
      <c r="D127" s="0" t="n">
        <v>375</v>
      </c>
      <c r="E127" s="1" t="s">
        <v>118</v>
      </c>
      <c r="F127" s="0" t="n">
        <f aca="false">SUMIFS(출고!$F$2:$F$1167,출고!$B$2:$B$1167,B127,출고!$C$2:$C$1167,C127)/SUMIFS(출고!$D$2:$D$1167,출고!$B$2:$B$1167,B127,출고!$C$2:$C$1167,C127)</f>
        <v>13181.6268191268</v>
      </c>
      <c r="G127" s="0" t="n">
        <f aca="false">D127*F127</f>
        <v>4943110.05717256</v>
      </c>
      <c r="H127" s="0" t="n">
        <f aca="false">INDEX(마스터!$E:$E,MATCH(C127,마스터!$A:$A,0))</f>
        <v>6630</v>
      </c>
      <c r="I127" s="0" t="n">
        <f aca="false">IF(OR(E127="개정판교체",E127="파본"),0,D127*H127)</f>
        <v>0</v>
      </c>
    </row>
    <row r="128" customFormat="false" ht="15" hidden="false" customHeight="false" outlineLevel="0" collapsed="false">
      <c r="A128" s="0" t="s">
        <v>89</v>
      </c>
      <c r="B128" s="1" t="s">
        <v>21</v>
      </c>
      <c r="C128" s="1" t="s">
        <v>37</v>
      </c>
      <c r="D128" s="0" t="n">
        <v>1625</v>
      </c>
      <c r="E128" s="1" t="s">
        <v>117</v>
      </c>
      <c r="F128" s="0" t="n">
        <f aca="false">SUMIFS(출고!$F$2:$F$1167,출고!$B$2:$B$1167,B128,출고!$C$2:$C$1167,C128)/SUMIFS(출고!$D$2:$D$1167,출고!$B$2:$B$1167,B128,출고!$C$2:$C$1167,C128)</f>
        <v>10503.3178294574</v>
      </c>
      <c r="G128" s="0" t="n">
        <f aca="false">D128*F128</f>
        <v>17067891.4728682</v>
      </c>
      <c r="H128" s="0" t="n">
        <f aca="false">INDEX(마스터!$E:$E,MATCH(C128,마스터!$A:$A,0))</f>
        <v>4900</v>
      </c>
      <c r="I128" s="0" t="n">
        <f aca="false">IF(OR(E128="개정판교체",E128="파본"),0,D128*H128)</f>
        <v>7962500</v>
      </c>
    </row>
    <row r="129" customFormat="false" ht="15" hidden="false" customHeight="false" outlineLevel="0" collapsed="false">
      <c r="A129" s="0" t="s">
        <v>89</v>
      </c>
      <c r="B129" s="1" t="s">
        <v>22</v>
      </c>
      <c r="C129" s="1" t="s">
        <v>48</v>
      </c>
      <c r="D129" s="0" t="n">
        <v>663</v>
      </c>
      <c r="E129" s="1" t="s">
        <v>116</v>
      </c>
      <c r="F129" s="0" t="n">
        <f aca="false">SUMIFS(출고!$F$2:$F$1167,출고!$B$2:$B$1167,B129,출고!$C$2:$C$1167,C129)/SUMIFS(출고!$D$2:$D$1167,출고!$B$2:$B$1167,B129,출고!$C$2:$C$1167,C129)</f>
        <v>12977.3781902552</v>
      </c>
      <c r="G129" s="0" t="n">
        <f aca="false">D129*F129</f>
        <v>8604001.74013921</v>
      </c>
      <c r="H129" s="0" t="n">
        <f aca="false">INDEX(마스터!$E:$E,MATCH(C129,마스터!$A:$A,0))</f>
        <v>6440</v>
      </c>
      <c r="I129" s="0" t="n">
        <f aca="false">IF(OR(E129="개정판교체",E129="파본"),0,D129*H129)</f>
        <v>4269720</v>
      </c>
    </row>
    <row r="130" customFormat="false" ht="15" hidden="false" customHeight="false" outlineLevel="0" collapsed="false">
      <c r="A130" s="0" t="s">
        <v>89</v>
      </c>
      <c r="B130" s="1" t="s">
        <v>22</v>
      </c>
      <c r="C130" s="1" t="s">
        <v>48</v>
      </c>
      <c r="D130" s="0" t="n">
        <v>564</v>
      </c>
      <c r="E130" s="1" t="s">
        <v>118</v>
      </c>
      <c r="F130" s="0" t="n">
        <f aca="false">SUMIFS(출고!$F$2:$F$1167,출고!$B$2:$B$1167,B130,출고!$C$2:$C$1167,C130)/SUMIFS(출고!$D$2:$D$1167,출고!$B$2:$B$1167,B130,출고!$C$2:$C$1167,C130)</f>
        <v>12977.3781902552</v>
      </c>
      <c r="G130" s="0" t="n">
        <f aca="false">D130*F130</f>
        <v>7319241.29930394</v>
      </c>
      <c r="H130" s="0" t="n">
        <f aca="false">INDEX(마스터!$E:$E,MATCH(C130,마스터!$A:$A,0))</f>
        <v>6440</v>
      </c>
      <c r="I130" s="0" t="n">
        <f aca="false">IF(OR(E130="개정판교체",E130="파본"),0,D130*H130)</f>
        <v>0</v>
      </c>
    </row>
    <row r="131" customFormat="false" ht="15" hidden="false" customHeight="false" outlineLevel="0" collapsed="false">
      <c r="A131" s="0" t="s">
        <v>89</v>
      </c>
      <c r="B131" s="1" t="s">
        <v>23</v>
      </c>
      <c r="C131" s="1" t="s">
        <v>42</v>
      </c>
      <c r="D131" s="0" t="n">
        <v>771</v>
      </c>
      <c r="E131" s="1" t="s">
        <v>116</v>
      </c>
      <c r="F131" s="0" t="n">
        <f aca="false">SUMIFS(출고!$F$2:$F$1167,출고!$B$2:$B$1167,B131,출고!$C$2:$C$1167,C131)/SUMIFS(출고!$D$2:$D$1167,출고!$B$2:$B$1167,B131,출고!$C$2:$C$1167,C131)</f>
        <v>13257.2583608967</v>
      </c>
      <c r="G131" s="0" t="n">
        <f aca="false">D131*F131</f>
        <v>10221346.1962514</v>
      </c>
      <c r="H131" s="0" t="n">
        <f aca="false">INDEX(마스터!$E:$E,MATCH(C131,마스터!$A:$A,0))</f>
        <v>6730</v>
      </c>
      <c r="I131" s="0" t="n">
        <f aca="false">IF(OR(E131="개정판교체",E131="파본"),0,D131*H131)</f>
        <v>5188830</v>
      </c>
    </row>
    <row r="132" customFormat="false" ht="15" hidden="false" customHeight="false" outlineLevel="0" collapsed="false">
      <c r="A132" s="0" t="s">
        <v>89</v>
      </c>
      <c r="B132" s="1" t="s">
        <v>23</v>
      </c>
      <c r="C132" s="1" t="s">
        <v>42</v>
      </c>
      <c r="D132" s="0" t="n">
        <v>472</v>
      </c>
      <c r="E132" s="1" t="s">
        <v>118</v>
      </c>
      <c r="F132" s="0" t="n">
        <f aca="false">SUMIFS(출고!$F$2:$F$1167,출고!$B$2:$B$1167,B132,출고!$C$2:$C$1167,C132)/SUMIFS(출고!$D$2:$D$1167,출고!$B$2:$B$1167,B132,출고!$C$2:$C$1167,C132)</f>
        <v>13257.2583608967</v>
      </c>
      <c r="G132" s="0" t="n">
        <f aca="false">D132*F132</f>
        <v>6257425.94634326</v>
      </c>
      <c r="H132" s="0" t="n">
        <f aca="false">INDEX(마스터!$E:$E,MATCH(C132,마스터!$A:$A,0))</f>
        <v>6730</v>
      </c>
      <c r="I132" s="0" t="n">
        <f aca="false">IF(OR(E132="개정판교체",E132="파본"),0,D132*H132)</f>
        <v>0</v>
      </c>
    </row>
    <row r="133" customFormat="false" ht="15" hidden="false" customHeight="false" outlineLevel="0" collapsed="false">
      <c r="A133" s="0" t="s">
        <v>89</v>
      </c>
      <c r="B133" s="1" t="s">
        <v>25</v>
      </c>
      <c r="C133" s="1" t="s">
        <v>57</v>
      </c>
      <c r="D133" s="0" t="n">
        <v>973</v>
      </c>
      <c r="E133" s="1" t="s">
        <v>116</v>
      </c>
      <c r="F133" s="0" t="n">
        <f aca="false">SUMIFS(출고!$F$2:$F$1167,출고!$B$2:$B$1167,B133,출고!$C$2:$C$1167,C133)/SUMIFS(출고!$D$2:$D$1167,출고!$B$2:$B$1167,B133,출고!$C$2:$C$1167,C133)</f>
        <v>10494.748</v>
      </c>
      <c r="G133" s="0" t="n">
        <f aca="false">D133*F133</f>
        <v>10211389.804</v>
      </c>
      <c r="H133" s="0" t="n">
        <f aca="false">INDEX(마스터!$E:$E,MATCH(C133,마스터!$A:$A,0))</f>
        <v>4870</v>
      </c>
      <c r="I133" s="0" t="n">
        <f aca="false">IF(OR(E133="개정판교체",E133="파본"),0,D133*H133)</f>
        <v>4738510</v>
      </c>
    </row>
    <row r="134" customFormat="false" ht="15" hidden="false" customHeight="false" outlineLevel="0" collapsed="false">
      <c r="A134" s="0" t="s">
        <v>89</v>
      </c>
      <c r="B134" s="1" t="s">
        <v>24</v>
      </c>
      <c r="C134" s="1" t="s">
        <v>42</v>
      </c>
      <c r="D134" s="0" t="n">
        <v>553</v>
      </c>
      <c r="E134" s="1" t="s">
        <v>116</v>
      </c>
      <c r="F134" s="0" t="n">
        <f aca="false">SUMIFS(출고!$F$2:$F$1167,출고!$B$2:$B$1167,B134,출고!$C$2:$C$1167,C134)/SUMIFS(출고!$D$2:$D$1167,출고!$B$2:$B$1167,B134,출고!$C$2:$C$1167,C134)</f>
        <v>13332.4887780549</v>
      </c>
      <c r="G134" s="0" t="n">
        <f aca="false">D134*F134</f>
        <v>7372866.29426434</v>
      </c>
      <c r="H134" s="0" t="n">
        <f aca="false">INDEX(마스터!$E:$E,MATCH(C134,마스터!$A:$A,0))</f>
        <v>6730</v>
      </c>
      <c r="I134" s="0" t="n">
        <f aca="false">IF(OR(E134="개정판교체",E134="파본"),0,D134*H134)</f>
        <v>3721690</v>
      </c>
    </row>
    <row r="135" customFormat="false" ht="15" hidden="false" customHeight="false" outlineLevel="0" collapsed="false">
      <c r="A135" s="0" t="s">
        <v>89</v>
      </c>
      <c r="B135" s="1" t="s">
        <v>24</v>
      </c>
      <c r="C135" s="1" t="s">
        <v>42</v>
      </c>
      <c r="D135" s="0" t="n">
        <v>339</v>
      </c>
      <c r="E135" s="1" t="s">
        <v>118</v>
      </c>
      <c r="F135" s="0" t="n">
        <f aca="false">SUMIFS(출고!$F$2:$F$1167,출고!$B$2:$B$1167,B135,출고!$C$2:$C$1167,C135)/SUMIFS(출고!$D$2:$D$1167,출고!$B$2:$B$1167,B135,출고!$C$2:$C$1167,C135)</f>
        <v>13332.4887780549</v>
      </c>
      <c r="G135" s="0" t="n">
        <f aca="false">D135*F135</f>
        <v>4519713.6957606</v>
      </c>
      <c r="H135" s="0" t="n">
        <f aca="false">INDEX(마스터!$E:$E,MATCH(C135,마스터!$A:$A,0))</f>
        <v>6730</v>
      </c>
      <c r="I135" s="0" t="n">
        <f aca="false">IF(OR(E135="개정판교체",E135="파본"),0,D135*H135)</f>
        <v>0</v>
      </c>
    </row>
    <row r="136" customFormat="false" ht="15" hidden="false" customHeight="false" outlineLevel="0" collapsed="false">
      <c r="A136" s="0" t="s">
        <v>91</v>
      </c>
      <c r="B136" s="1" t="s">
        <v>14</v>
      </c>
      <c r="C136" s="1" t="s">
        <v>38</v>
      </c>
      <c r="D136" s="0" t="n">
        <v>4133</v>
      </c>
      <c r="E136" s="1" t="s">
        <v>120</v>
      </c>
      <c r="F136" s="0" t="n">
        <f aca="false">SUMIFS(출고!$F$2:$F$1167,출고!$B$2:$B$1167,B136,출고!$C$2:$C$1167,C136)/SUMIFS(출고!$D$2:$D$1167,출고!$B$2:$B$1167,B136,출고!$C$2:$C$1167,C136)</f>
        <v>11280.897005988</v>
      </c>
      <c r="G136" s="0" t="n">
        <f aca="false">D136*F136</f>
        <v>46623947.3257485</v>
      </c>
      <c r="H136" s="0" t="n">
        <f aca="false">INDEX(마스터!$E:$E,MATCH(C136,마스터!$A:$A,0))</f>
        <v>5670</v>
      </c>
      <c r="I136" s="0" t="n">
        <f aca="false">IF(OR(E136="개정판교체",E136="파본"),0,D136*H136)</f>
        <v>0</v>
      </c>
    </row>
    <row r="137" customFormat="false" ht="15" hidden="false" customHeight="false" outlineLevel="0" collapsed="false">
      <c r="A137" s="0" t="s">
        <v>91</v>
      </c>
      <c r="B137" s="1" t="s">
        <v>14</v>
      </c>
      <c r="C137" s="1" t="s">
        <v>38</v>
      </c>
      <c r="D137" s="0" t="n">
        <v>729</v>
      </c>
      <c r="E137" s="1" t="s">
        <v>116</v>
      </c>
      <c r="F137" s="0" t="n">
        <f aca="false">SUMIFS(출고!$F$2:$F$1167,출고!$B$2:$B$1167,B137,출고!$C$2:$C$1167,C137)/SUMIFS(출고!$D$2:$D$1167,출고!$B$2:$B$1167,B137,출고!$C$2:$C$1167,C137)</f>
        <v>11280.897005988</v>
      </c>
      <c r="G137" s="0" t="n">
        <f aca="false">D137*F137</f>
        <v>8223773.91736527</v>
      </c>
      <c r="H137" s="0" t="n">
        <f aca="false">INDEX(마스터!$E:$E,MATCH(C137,마스터!$A:$A,0))</f>
        <v>5670</v>
      </c>
      <c r="I137" s="0" t="n">
        <f aca="false">IF(OR(E137="개정판교체",E137="파본"),0,D137*H137)</f>
        <v>4133430</v>
      </c>
    </row>
    <row r="138" customFormat="false" ht="15" hidden="false" customHeight="false" outlineLevel="0" collapsed="false">
      <c r="A138" s="0" t="s">
        <v>91</v>
      </c>
      <c r="B138" s="1" t="s">
        <v>14</v>
      </c>
      <c r="C138" s="1" t="s">
        <v>48</v>
      </c>
      <c r="D138" s="0" t="n">
        <v>1710</v>
      </c>
      <c r="E138" s="1" t="s">
        <v>117</v>
      </c>
      <c r="F138" s="0" t="n">
        <f aca="false">SUMIFS(출고!$F$2:$F$1167,출고!$B$2:$B$1167,B138,출고!$C$2:$C$1167,C138)/SUMIFS(출고!$D$2:$D$1167,출고!$B$2:$B$1167,B138,출고!$C$2:$C$1167,C138)</f>
        <v>11921.7601459188</v>
      </c>
      <c r="G138" s="0" t="n">
        <f aca="false">D138*F138</f>
        <v>20386209.8495212</v>
      </c>
      <c r="H138" s="0" t="n">
        <f aca="false">INDEX(마스터!$E:$E,MATCH(C138,마스터!$A:$A,0))</f>
        <v>6440</v>
      </c>
      <c r="I138" s="0" t="n">
        <f aca="false">IF(OR(E138="개정판교체",E138="파본"),0,D138*H138)</f>
        <v>11012400</v>
      </c>
    </row>
    <row r="139" customFormat="false" ht="15" hidden="false" customHeight="false" outlineLevel="0" collapsed="false">
      <c r="A139" s="0" t="s">
        <v>91</v>
      </c>
      <c r="B139" s="1" t="s">
        <v>14</v>
      </c>
      <c r="C139" s="1" t="s">
        <v>48</v>
      </c>
      <c r="D139" s="0" t="n">
        <v>1457</v>
      </c>
      <c r="E139" s="1" t="s">
        <v>118</v>
      </c>
      <c r="F139" s="0" t="n">
        <f aca="false">SUMIFS(출고!$F$2:$F$1167,출고!$B$2:$B$1167,B139,출고!$C$2:$C$1167,C139)/SUMIFS(출고!$D$2:$D$1167,출고!$B$2:$B$1167,B139,출고!$C$2:$C$1167,C139)</f>
        <v>11921.7601459188</v>
      </c>
      <c r="G139" s="0" t="n">
        <f aca="false">D139*F139</f>
        <v>17370004.5326037</v>
      </c>
      <c r="H139" s="0" t="n">
        <f aca="false">INDEX(마스터!$E:$E,MATCH(C139,마스터!$A:$A,0))</f>
        <v>6440</v>
      </c>
      <c r="I139" s="0" t="n">
        <f aca="false">IF(OR(E139="개정판교체",E139="파본"),0,D139*H139)</f>
        <v>0</v>
      </c>
    </row>
    <row r="140" customFormat="false" ht="15" hidden="false" customHeight="false" outlineLevel="0" collapsed="false">
      <c r="A140" s="0" t="s">
        <v>91</v>
      </c>
      <c r="B140" s="1" t="s">
        <v>14</v>
      </c>
      <c r="C140" s="1" t="s">
        <v>85</v>
      </c>
      <c r="D140" s="0" t="n">
        <v>3394</v>
      </c>
      <c r="E140" s="1" t="s">
        <v>116</v>
      </c>
      <c r="F140" s="0" t="n">
        <f aca="false">SUMIFS(출고!$F$2:$F$1167,출고!$B$2:$B$1167,B140,출고!$C$2:$C$1167,C140)/SUMIFS(출고!$D$2:$D$1167,출고!$B$2:$B$1167,B140,출고!$C$2:$C$1167,C140)</f>
        <v>8703.01960784314</v>
      </c>
      <c r="G140" s="0" t="n">
        <f aca="false">D140*F140</f>
        <v>29538048.5490196</v>
      </c>
      <c r="H140" s="0" t="n">
        <f aca="false">INDEX(마스터!$E:$E,MATCH(C140,마스터!$A:$A,0))</f>
        <v>4380</v>
      </c>
      <c r="I140" s="0" t="n">
        <f aca="false">IF(OR(E140="개정판교체",E140="파본"),0,D140*H140)</f>
        <v>14865720</v>
      </c>
    </row>
    <row r="141" customFormat="false" ht="15" hidden="false" customHeight="false" outlineLevel="0" collapsed="false">
      <c r="A141" s="0" t="s">
        <v>91</v>
      </c>
      <c r="B141" s="1" t="s">
        <v>14</v>
      </c>
      <c r="C141" s="1" t="s">
        <v>47</v>
      </c>
      <c r="D141" s="0" t="n">
        <v>3193</v>
      </c>
      <c r="E141" s="1" t="s">
        <v>116</v>
      </c>
      <c r="F141" s="0" t="n">
        <f aca="false">SUMIFS(출고!$F$2:$F$1167,출고!$B$2:$B$1167,B141,출고!$C$2:$C$1167,C141)/SUMIFS(출고!$D$2:$D$1167,출고!$B$2:$B$1167,B141,출고!$C$2:$C$1167,C141)</f>
        <v>8382.27260602828</v>
      </c>
      <c r="G141" s="0" t="n">
        <f aca="false">D141*F141</f>
        <v>26764596.4310483</v>
      </c>
      <c r="H141" s="0" t="n">
        <f aca="false">INDEX(마스터!$E:$E,MATCH(C141,마스터!$A:$A,0))</f>
        <v>4170</v>
      </c>
      <c r="I141" s="0" t="n">
        <f aca="false">IF(OR(E141="개정판교체",E141="파본"),0,D141*H141)</f>
        <v>13314810</v>
      </c>
    </row>
    <row r="142" customFormat="false" ht="15" hidden="false" customHeight="false" outlineLevel="0" collapsed="false">
      <c r="A142" s="0" t="s">
        <v>91</v>
      </c>
      <c r="B142" s="1" t="s">
        <v>15</v>
      </c>
      <c r="C142" s="1" t="s">
        <v>38</v>
      </c>
      <c r="D142" s="0" t="n">
        <v>2499</v>
      </c>
      <c r="E142" s="1" t="s">
        <v>120</v>
      </c>
      <c r="F142" s="0" t="n">
        <f aca="false">SUMIFS(출고!$F$2:$F$1167,출고!$B$2:$B$1167,B142,출고!$C$2:$C$1167,C142)/SUMIFS(출고!$D$2:$D$1167,출고!$B$2:$B$1167,B142,출고!$C$2:$C$1167,C142)</f>
        <v>11377.4589032501</v>
      </c>
      <c r="G142" s="0" t="n">
        <f aca="false">D142*F142</f>
        <v>28432269.799222</v>
      </c>
      <c r="H142" s="0" t="n">
        <f aca="false">INDEX(마스터!$E:$E,MATCH(C142,마스터!$A:$A,0))</f>
        <v>5670</v>
      </c>
      <c r="I142" s="0" t="n">
        <f aca="false">IF(OR(E142="개정판교체",E142="파본"),0,D142*H142)</f>
        <v>0</v>
      </c>
    </row>
    <row r="143" customFormat="false" ht="15" hidden="false" customHeight="false" outlineLevel="0" collapsed="false">
      <c r="A143" s="0" t="s">
        <v>91</v>
      </c>
      <c r="B143" s="1" t="s">
        <v>15</v>
      </c>
      <c r="C143" s="1" t="s">
        <v>38</v>
      </c>
      <c r="D143" s="0" t="n">
        <v>441</v>
      </c>
      <c r="E143" s="1" t="s">
        <v>116</v>
      </c>
      <c r="F143" s="0" t="n">
        <f aca="false">SUMIFS(출고!$F$2:$F$1167,출고!$B$2:$B$1167,B143,출고!$C$2:$C$1167,C143)/SUMIFS(출고!$D$2:$D$1167,출고!$B$2:$B$1167,B143,출고!$C$2:$C$1167,C143)</f>
        <v>11377.4589032501</v>
      </c>
      <c r="G143" s="0" t="n">
        <f aca="false">D143*F143</f>
        <v>5017459.37633329</v>
      </c>
      <c r="H143" s="0" t="n">
        <f aca="false">INDEX(마스터!$E:$E,MATCH(C143,마스터!$A:$A,0))</f>
        <v>5670</v>
      </c>
      <c r="I143" s="0" t="n">
        <f aca="false">IF(OR(E143="개정판교체",E143="파본"),0,D143*H143)</f>
        <v>2500470</v>
      </c>
    </row>
    <row r="144" customFormat="false" ht="15" hidden="false" customHeight="false" outlineLevel="0" collapsed="false">
      <c r="A144" s="0" t="s">
        <v>91</v>
      </c>
      <c r="B144" s="1" t="s">
        <v>15</v>
      </c>
      <c r="C144" s="1" t="s">
        <v>66</v>
      </c>
      <c r="D144" s="0" t="n">
        <v>1004</v>
      </c>
      <c r="E144" s="1" t="s">
        <v>116</v>
      </c>
      <c r="F144" s="0" t="n">
        <f aca="false">SUMIFS(출고!$F$2:$F$1167,출고!$B$2:$B$1167,B144,출고!$C$2:$C$1167,C144)/SUMIFS(출고!$D$2:$D$1167,출고!$B$2:$B$1167,B144,출고!$C$2:$C$1167,C144)</f>
        <v>12030.3590777372</v>
      </c>
      <c r="G144" s="0" t="n">
        <f aca="false">D144*F144</f>
        <v>12078480.5140481</v>
      </c>
      <c r="H144" s="0" t="n">
        <f aca="false">INDEX(마스터!$E:$E,MATCH(C144,마스터!$A:$A,0))</f>
        <v>6360</v>
      </c>
      <c r="I144" s="0" t="n">
        <f aca="false">IF(OR(E144="개정판교체",E144="파본"),0,D144*H144)</f>
        <v>6385440</v>
      </c>
    </row>
    <row r="145" customFormat="false" ht="15" hidden="false" customHeight="false" outlineLevel="0" collapsed="false">
      <c r="A145" s="0" t="s">
        <v>91</v>
      </c>
      <c r="B145" s="1" t="s">
        <v>15</v>
      </c>
      <c r="C145" s="1" t="s">
        <v>47</v>
      </c>
      <c r="D145" s="0" t="n">
        <v>1048</v>
      </c>
      <c r="E145" s="1" t="s">
        <v>116</v>
      </c>
      <c r="F145" s="0" t="n">
        <f aca="false">SUMIFS(출고!$F$2:$F$1167,출고!$B$2:$B$1167,B145,출고!$C$2:$C$1167,C145)/SUMIFS(출고!$D$2:$D$1167,출고!$B$2:$B$1167,B145,출고!$C$2:$C$1167,C145)</f>
        <v>8455.46315291147</v>
      </c>
      <c r="G145" s="0" t="n">
        <f aca="false">D145*F145</f>
        <v>8861325.38425122</v>
      </c>
      <c r="H145" s="0" t="n">
        <f aca="false">INDEX(마스터!$E:$E,MATCH(C145,마스터!$A:$A,0))</f>
        <v>4170</v>
      </c>
      <c r="I145" s="0" t="n">
        <f aca="false">IF(OR(E145="개정판교체",E145="파본"),0,D145*H145)</f>
        <v>4370160</v>
      </c>
    </row>
    <row r="146" customFormat="false" ht="15" hidden="false" customHeight="false" outlineLevel="0" collapsed="false">
      <c r="A146" s="0" t="s">
        <v>91</v>
      </c>
      <c r="B146" s="1" t="s">
        <v>16</v>
      </c>
      <c r="C146" s="1" t="s">
        <v>38</v>
      </c>
      <c r="D146" s="0" t="n">
        <v>1335</v>
      </c>
      <c r="E146" s="1" t="s">
        <v>120</v>
      </c>
      <c r="F146" s="0" t="n">
        <f aca="false">SUMIFS(출고!$F$2:$F$1167,출고!$B$2:$B$1167,B146,출고!$C$2:$C$1167,C146)/SUMIFS(출고!$D$2:$D$1167,출고!$B$2:$B$1167,B146,출고!$C$2:$C$1167,C146)</f>
        <v>12452.79296875</v>
      </c>
      <c r="G146" s="0" t="n">
        <f aca="false">D146*F146</f>
        <v>16624478.6132813</v>
      </c>
      <c r="H146" s="0" t="n">
        <f aca="false">INDEX(마스터!$E:$E,MATCH(C146,마스터!$A:$A,0))</f>
        <v>5670</v>
      </c>
      <c r="I146" s="0" t="n">
        <f aca="false">IF(OR(E146="개정판교체",E146="파본"),0,D146*H146)</f>
        <v>0</v>
      </c>
    </row>
    <row r="147" customFormat="false" ht="15" hidden="false" customHeight="false" outlineLevel="0" collapsed="false">
      <c r="A147" s="0" t="s">
        <v>91</v>
      </c>
      <c r="B147" s="1" t="s">
        <v>16</v>
      </c>
      <c r="C147" s="1" t="s">
        <v>42</v>
      </c>
      <c r="D147" s="0" t="n">
        <v>777</v>
      </c>
      <c r="E147" s="1" t="s">
        <v>116</v>
      </c>
      <c r="F147" s="0" t="n">
        <f aca="false">SUMIFS(출고!$F$2:$F$1167,출고!$B$2:$B$1167,B147,출고!$C$2:$C$1167,C147)/SUMIFS(출고!$D$2:$D$1167,출고!$B$2:$B$1167,B147,출고!$C$2:$C$1167,C147)</f>
        <v>13389.3611793612</v>
      </c>
      <c r="G147" s="0" t="n">
        <f aca="false">D147*F147</f>
        <v>10403533.6363636</v>
      </c>
      <c r="H147" s="0" t="n">
        <f aca="false">INDEX(마스터!$E:$E,MATCH(C147,마스터!$A:$A,0))</f>
        <v>6730</v>
      </c>
      <c r="I147" s="0" t="n">
        <f aca="false">IF(OR(E147="개정판교체",E147="파본"),0,D147*H147)</f>
        <v>5229210</v>
      </c>
    </row>
    <row r="148" customFormat="false" ht="15" hidden="false" customHeight="false" outlineLevel="0" collapsed="false">
      <c r="A148" s="0" t="s">
        <v>91</v>
      </c>
      <c r="B148" s="1" t="s">
        <v>16</v>
      </c>
      <c r="C148" s="1" t="s">
        <v>42</v>
      </c>
      <c r="D148" s="0" t="n">
        <v>476</v>
      </c>
      <c r="E148" s="1" t="s">
        <v>118</v>
      </c>
      <c r="F148" s="0" t="n">
        <f aca="false">SUMIFS(출고!$F$2:$F$1167,출고!$B$2:$B$1167,B148,출고!$C$2:$C$1167,C148)/SUMIFS(출고!$D$2:$D$1167,출고!$B$2:$B$1167,B148,출고!$C$2:$C$1167,C148)</f>
        <v>13389.3611793612</v>
      </c>
      <c r="G148" s="0" t="n">
        <f aca="false">D148*F148</f>
        <v>6373335.92137592</v>
      </c>
      <c r="H148" s="0" t="n">
        <f aca="false">INDEX(마스터!$E:$E,MATCH(C148,마스터!$A:$A,0))</f>
        <v>6730</v>
      </c>
      <c r="I148" s="0" t="n">
        <f aca="false">IF(OR(E148="개정판교체",E148="파본"),0,D148*H148)</f>
        <v>0</v>
      </c>
    </row>
    <row r="149" customFormat="false" ht="15" hidden="false" customHeight="false" outlineLevel="0" collapsed="false">
      <c r="A149" s="0" t="s">
        <v>91</v>
      </c>
      <c r="B149" s="1" t="s">
        <v>17</v>
      </c>
      <c r="C149" s="1" t="s">
        <v>38</v>
      </c>
      <c r="D149" s="0" t="n">
        <v>1951</v>
      </c>
      <c r="E149" s="1" t="s">
        <v>120</v>
      </c>
      <c r="F149" s="0" t="n">
        <f aca="false">SUMIFS(출고!$F$2:$F$1167,출고!$B$2:$B$1167,B149,출고!$C$2:$C$1167,C149)/SUMIFS(출고!$D$2:$D$1167,출고!$B$2:$B$1167,B149,출고!$C$2:$C$1167,C149)</f>
        <v>11290.7279191617</v>
      </c>
      <c r="G149" s="0" t="n">
        <f aca="false">D149*F149</f>
        <v>22028210.1702844</v>
      </c>
      <c r="H149" s="0" t="n">
        <f aca="false">INDEX(마스터!$E:$E,MATCH(C149,마스터!$A:$A,0))</f>
        <v>5670</v>
      </c>
      <c r="I149" s="0" t="n">
        <f aca="false">IF(OR(E149="개정판교체",E149="파본"),0,D149*H149)</f>
        <v>0</v>
      </c>
    </row>
    <row r="150" customFormat="false" ht="15" hidden="false" customHeight="false" outlineLevel="0" collapsed="false">
      <c r="A150" s="0" t="s">
        <v>91</v>
      </c>
      <c r="B150" s="1" t="s">
        <v>17</v>
      </c>
      <c r="C150" s="1" t="s">
        <v>71</v>
      </c>
      <c r="D150" s="0" t="n">
        <v>752</v>
      </c>
      <c r="E150" s="1" t="s">
        <v>116</v>
      </c>
      <c r="F150" s="0" t="n">
        <f aca="false">SUMIFS(출고!$F$2:$F$1167,출고!$B$2:$B$1167,B150,출고!$C$2:$C$1167,C150)/SUMIFS(출고!$D$2:$D$1167,출고!$B$2:$B$1167,B150,출고!$C$2:$C$1167,C150)</f>
        <v>8380.27278775782</v>
      </c>
      <c r="G150" s="0" t="n">
        <f aca="false">D150*F150</f>
        <v>6301965.13639388</v>
      </c>
      <c r="H150" s="0" t="n">
        <f aca="false">INDEX(마스터!$E:$E,MATCH(C150,마스터!$A:$A,0))</f>
        <v>4330</v>
      </c>
      <c r="I150" s="0" t="n">
        <f aca="false">IF(OR(E150="개정판교체",E150="파본"),0,D150*H150)</f>
        <v>3256160</v>
      </c>
    </row>
    <row r="151" customFormat="false" ht="15" hidden="false" customHeight="false" outlineLevel="0" collapsed="false">
      <c r="A151" s="0" t="s">
        <v>91</v>
      </c>
      <c r="B151" s="1" t="s">
        <v>17</v>
      </c>
      <c r="C151" s="1" t="s">
        <v>47</v>
      </c>
      <c r="D151" s="0" t="n">
        <v>1072</v>
      </c>
      <c r="E151" s="1" t="s">
        <v>116</v>
      </c>
      <c r="F151" s="0" t="n">
        <f aca="false">SUMIFS(출고!$F$2:$F$1167,출고!$B$2:$B$1167,B151,출고!$C$2:$C$1167,C151)/SUMIFS(출고!$D$2:$D$1167,출고!$B$2:$B$1167,B151,출고!$C$2:$C$1167,C151)</f>
        <v>8386.65559982293</v>
      </c>
      <c r="G151" s="0" t="n">
        <f aca="false">D151*F151</f>
        <v>8990494.80301018</v>
      </c>
      <c r="H151" s="0" t="n">
        <f aca="false">INDEX(마스터!$E:$E,MATCH(C151,마스터!$A:$A,0))</f>
        <v>4170</v>
      </c>
      <c r="I151" s="0" t="n">
        <f aca="false">IF(OR(E151="개정판교체",E151="파본"),0,D151*H151)</f>
        <v>4470240</v>
      </c>
    </row>
    <row r="152" customFormat="false" ht="15" hidden="false" customHeight="false" outlineLevel="0" collapsed="false">
      <c r="A152" s="0" t="s">
        <v>91</v>
      </c>
      <c r="B152" s="1" t="s">
        <v>18</v>
      </c>
      <c r="C152" s="1" t="s">
        <v>34</v>
      </c>
      <c r="D152" s="0" t="n">
        <v>613</v>
      </c>
      <c r="E152" s="1" t="s">
        <v>117</v>
      </c>
      <c r="F152" s="0" t="n">
        <f aca="false">SUMIFS(출고!$F$2:$F$1167,출고!$B$2:$B$1167,B152,출고!$C$2:$C$1167,C152)/SUMIFS(출고!$D$2:$D$1167,출고!$B$2:$B$1167,B152,출고!$C$2:$C$1167,C152)</f>
        <v>13142.2388059702</v>
      </c>
      <c r="G152" s="0" t="n">
        <f aca="false">D152*F152</f>
        <v>8056192.3880597</v>
      </c>
      <c r="H152" s="0" t="n">
        <f aca="false">INDEX(마스터!$E:$E,MATCH(C152,마스터!$A:$A,0))</f>
        <v>6630</v>
      </c>
      <c r="I152" s="0" t="n">
        <f aca="false">IF(OR(E152="개정판교체",E152="파본"),0,D152*H152)</f>
        <v>4064190</v>
      </c>
    </row>
    <row r="153" customFormat="false" ht="15" hidden="false" customHeight="false" outlineLevel="0" collapsed="false">
      <c r="A153" s="0" t="s">
        <v>91</v>
      </c>
      <c r="B153" s="1" t="s">
        <v>18</v>
      </c>
      <c r="C153" s="1" t="s">
        <v>34</v>
      </c>
      <c r="D153" s="0" t="n">
        <v>482</v>
      </c>
      <c r="E153" s="1" t="s">
        <v>118</v>
      </c>
      <c r="F153" s="0" t="n">
        <f aca="false">SUMIFS(출고!$F$2:$F$1167,출고!$B$2:$B$1167,B153,출고!$C$2:$C$1167,C153)/SUMIFS(출고!$D$2:$D$1167,출고!$B$2:$B$1167,B153,출고!$C$2:$C$1167,C153)</f>
        <v>13142.2388059702</v>
      </c>
      <c r="G153" s="0" t="n">
        <f aca="false">D153*F153</f>
        <v>6334559.10447761</v>
      </c>
      <c r="H153" s="0" t="n">
        <f aca="false">INDEX(마스터!$E:$E,MATCH(C153,마스터!$A:$A,0))</f>
        <v>6630</v>
      </c>
      <c r="I153" s="0" t="n">
        <f aca="false">IF(OR(E153="개정판교체",E153="파본"),0,D153*H153)</f>
        <v>0</v>
      </c>
    </row>
    <row r="154" customFormat="false" ht="15" hidden="false" customHeight="false" outlineLevel="0" collapsed="false">
      <c r="A154" s="0" t="s">
        <v>91</v>
      </c>
      <c r="B154" s="1" t="s">
        <v>19</v>
      </c>
      <c r="C154" s="1" t="s">
        <v>55</v>
      </c>
      <c r="D154" s="0" t="n">
        <v>835</v>
      </c>
      <c r="E154" s="1" t="s">
        <v>116</v>
      </c>
      <c r="F154" s="0" t="n">
        <f aca="false">SUMIFS(출고!$F$2:$F$1167,출고!$B$2:$B$1167,B154,출고!$C$2:$C$1167,C154)/SUMIFS(출고!$D$2:$D$1167,출고!$B$2:$B$1167,B154,출고!$C$2:$C$1167,C154)</f>
        <v>11992.2881355932</v>
      </c>
      <c r="G154" s="0" t="n">
        <f aca="false">D154*F154</f>
        <v>10013560.5932203</v>
      </c>
      <c r="H154" s="0" t="n">
        <f aca="false">INDEX(마스터!$E:$E,MATCH(C154,마스터!$A:$A,0))</f>
        <v>6040</v>
      </c>
      <c r="I154" s="0" t="n">
        <f aca="false">IF(OR(E154="개정판교체",E154="파본"),0,D154*H154)</f>
        <v>5043400</v>
      </c>
    </row>
    <row r="155" customFormat="false" ht="15" hidden="false" customHeight="false" outlineLevel="0" collapsed="false">
      <c r="A155" s="0" t="s">
        <v>91</v>
      </c>
      <c r="B155" s="1" t="s">
        <v>19</v>
      </c>
      <c r="C155" s="1" t="s">
        <v>55</v>
      </c>
      <c r="D155" s="0" t="n">
        <v>449</v>
      </c>
      <c r="E155" s="1" t="s">
        <v>118</v>
      </c>
      <c r="F155" s="0" t="n">
        <f aca="false">SUMIFS(출고!$F$2:$F$1167,출고!$B$2:$B$1167,B155,출고!$C$2:$C$1167,C155)/SUMIFS(출고!$D$2:$D$1167,출고!$B$2:$B$1167,B155,출고!$C$2:$C$1167,C155)</f>
        <v>11992.2881355932</v>
      </c>
      <c r="G155" s="0" t="n">
        <f aca="false">D155*F155</f>
        <v>5384537.37288136</v>
      </c>
      <c r="H155" s="0" t="n">
        <f aca="false">INDEX(마스터!$E:$E,MATCH(C155,마스터!$A:$A,0))</f>
        <v>6040</v>
      </c>
      <c r="I155" s="0" t="n">
        <f aca="false">IF(OR(E155="개정판교체",E155="파본"),0,D155*H155)</f>
        <v>0</v>
      </c>
    </row>
    <row r="156" customFormat="false" ht="15" hidden="false" customHeight="false" outlineLevel="0" collapsed="false">
      <c r="A156" s="0" t="s">
        <v>91</v>
      </c>
      <c r="B156" s="1" t="s">
        <v>20</v>
      </c>
      <c r="C156" s="1" t="s">
        <v>34</v>
      </c>
      <c r="D156" s="0" t="n">
        <v>427</v>
      </c>
      <c r="E156" s="1" t="s">
        <v>117</v>
      </c>
      <c r="F156" s="0" t="n">
        <f aca="false">SUMIFS(출고!$F$2:$F$1167,출고!$B$2:$B$1167,B156,출고!$C$2:$C$1167,C156)/SUMIFS(출고!$D$2:$D$1167,출고!$B$2:$B$1167,B156,출고!$C$2:$C$1167,C156)</f>
        <v>13181.6268191268</v>
      </c>
      <c r="G156" s="0" t="n">
        <f aca="false">D156*F156</f>
        <v>5628554.65176715</v>
      </c>
      <c r="H156" s="0" t="n">
        <f aca="false">INDEX(마스터!$E:$E,MATCH(C156,마스터!$A:$A,0))</f>
        <v>6630</v>
      </c>
      <c r="I156" s="0" t="n">
        <f aca="false">IF(OR(E156="개정판교체",E156="파본"),0,D156*H156)</f>
        <v>2831010</v>
      </c>
    </row>
    <row r="157" customFormat="false" ht="15" hidden="false" customHeight="false" outlineLevel="0" collapsed="false">
      <c r="A157" s="0" t="s">
        <v>91</v>
      </c>
      <c r="B157" s="1" t="s">
        <v>20</v>
      </c>
      <c r="C157" s="1" t="s">
        <v>34</v>
      </c>
      <c r="D157" s="0" t="n">
        <v>335</v>
      </c>
      <c r="E157" s="1" t="s">
        <v>118</v>
      </c>
      <c r="F157" s="0" t="n">
        <f aca="false">SUMIFS(출고!$F$2:$F$1167,출고!$B$2:$B$1167,B157,출고!$C$2:$C$1167,C157)/SUMIFS(출고!$D$2:$D$1167,출고!$B$2:$B$1167,B157,출고!$C$2:$C$1167,C157)</f>
        <v>13181.6268191268</v>
      </c>
      <c r="G157" s="0" t="n">
        <f aca="false">D157*F157</f>
        <v>4415844.98440748</v>
      </c>
      <c r="H157" s="0" t="n">
        <f aca="false">INDEX(마스터!$E:$E,MATCH(C157,마스터!$A:$A,0))</f>
        <v>6630</v>
      </c>
      <c r="I157" s="0" t="n">
        <f aca="false">IF(OR(E157="개정판교체",E157="파본"),0,D157*H157)</f>
        <v>0</v>
      </c>
    </row>
    <row r="158" customFormat="false" ht="15" hidden="false" customHeight="false" outlineLevel="0" collapsed="false">
      <c r="A158" s="0" t="s">
        <v>91</v>
      </c>
      <c r="B158" s="1" t="s">
        <v>21</v>
      </c>
      <c r="C158" s="1" t="s">
        <v>37</v>
      </c>
      <c r="D158" s="0" t="n">
        <v>1504</v>
      </c>
      <c r="E158" s="1" t="s">
        <v>116</v>
      </c>
      <c r="F158" s="0" t="n">
        <f aca="false">SUMIFS(출고!$F$2:$F$1167,출고!$B$2:$B$1167,B158,출고!$C$2:$C$1167,C158)/SUMIFS(출고!$D$2:$D$1167,출고!$B$2:$B$1167,B158,출고!$C$2:$C$1167,C158)</f>
        <v>10503.3178294574</v>
      </c>
      <c r="G158" s="0" t="n">
        <f aca="false">D158*F158</f>
        <v>15796990.0155039</v>
      </c>
      <c r="H158" s="0" t="n">
        <f aca="false">INDEX(마스터!$E:$E,MATCH(C158,마스터!$A:$A,0))</f>
        <v>4900</v>
      </c>
      <c r="I158" s="0" t="n">
        <f aca="false">IF(OR(E158="개정판교체",E158="파본"),0,D158*H158)</f>
        <v>7369600</v>
      </c>
    </row>
    <row r="159" customFormat="false" ht="15" hidden="false" customHeight="false" outlineLevel="0" collapsed="false">
      <c r="A159" s="0" t="s">
        <v>91</v>
      </c>
      <c r="B159" s="1" t="s">
        <v>22</v>
      </c>
      <c r="C159" s="1" t="s">
        <v>77</v>
      </c>
      <c r="D159" s="0" t="n">
        <v>758</v>
      </c>
      <c r="E159" s="1" t="s">
        <v>117</v>
      </c>
      <c r="F159" s="0" t="n">
        <f aca="false">SUMIFS(출고!$F$2:$F$1167,출고!$B$2:$B$1167,B159,출고!$C$2:$C$1167,C159)/SUMIFS(출고!$D$2:$D$1167,출고!$B$2:$B$1167,B159,출고!$C$2:$C$1167,C159)</f>
        <v>11945.3144104803</v>
      </c>
      <c r="G159" s="0" t="n">
        <f aca="false">D159*F159</f>
        <v>9054548.3231441</v>
      </c>
      <c r="H159" s="0" t="n">
        <f aca="false">INDEX(마스터!$E:$E,MATCH(C159,마스터!$A:$A,0))</f>
        <v>5380</v>
      </c>
      <c r="I159" s="0" t="n">
        <f aca="false">IF(OR(E159="개정판교체",E159="파본"),0,D159*H159)</f>
        <v>4078040</v>
      </c>
    </row>
    <row r="160" customFormat="false" ht="15" hidden="false" customHeight="false" outlineLevel="0" collapsed="false">
      <c r="A160" s="0" t="s">
        <v>91</v>
      </c>
      <c r="B160" s="1" t="s">
        <v>23</v>
      </c>
      <c r="C160" s="1" t="s">
        <v>42</v>
      </c>
      <c r="D160" s="0" t="n">
        <v>660</v>
      </c>
      <c r="E160" s="1" t="s">
        <v>116</v>
      </c>
      <c r="F160" s="0" t="n">
        <f aca="false">SUMIFS(출고!$F$2:$F$1167,출고!$B$2:$B$1167,B160,출고!$C$2:$C$1167,C160)/SUMIFS(출고!$D$2:$D$1167,출고!$B$2:$B$1167,B160,출고!$C$2:$C$1167,C160)</f>
        <v>13257.2583608967</v>
      </c>
      <c r="G160" s="0" t="n">
        <f aca="false">D160*F160</f>
        <v>8749790.51819184</v>
      </c>
      <c r="H160" s="0" t="n">
        <f aca="false">INDEX(마스터!$E:$E,MATCH(C160,마스터!$A:$A,0))</f>
        <v>6730</v>
      </c>
      <c r="I160" s="0" t="n">
        <f aca="false">IF(OR(E160="개정판교체",E160="파본"),0,D160*H160)</f>
        <v>4441800</v>
      </c>
    </row>
    <row r="161" customFormat="false" ht="15" hidden="false" customHeight="false" outlineLevel="0" collapsed="false">
      <c r="A161" s="0" t="s">
        <v>91</v>
      </c>
      <c r="B161" s="1" t="s">
        <v>23</v>
      </c>
      <c r="C161" s="1" t="s">
        <v>42</v>
      </c>
      <c r="D161" s="0" t="n">
        <v>404</v>
      </c>
      <c r="E161" s="1" t="s">
        <v>118</v>
      </c>
      <c r="F161" s="0" t="n">
        <f aca="false">SUMIFS(출고!$F$2:$F$1167,출고!$B$2:$B$1167,B161,출고!$C$2:$C$1167,C161)/SUMIFS(출고!$D$2:$D$1167,출고!$B$2:$B$1167,B161,출고!$C$2:$C$1167,C161)</f>
        <v>13257.2583608967</v>
      </c>
      <c r="G161" s="0" t="n">
        <f aca="false">D161*F161</f>
        <v>5355932.37780228</v>
      </c>
      <c r="H161" s="0" t="n">
        <f aca="false">INDEX(마스터!$E:$E,MATCH(C161,마스터!$A:$A,0))</f>
        <v>6730</v>
      </c>
      <c r="I161" s="0" t="n">
        <f aca="false">IF(OR(E161="개정판교체",E161="파본"),0,D161*H161)</f>
        <v>0</v>
      </c>
    </row>
    <row r="162" customFormat="false" ht="15" hidden="false" customHeight="false" outlineLevel="0" collapsed="false">
      <c r="A162" s="0" t="s">
        <v>91</v>
      </c>
      <c r="B162" s="1" t="s">
        <v>25</v>
      </c>
      <c r="C162" s="1" t="s">
        <v>61</v>
      </c>
      <c r="D162" s="0" t="n">
        <v>742</v>
      </c>
      <c r="E162" s="1" t="s">
        <v>116</v>
      </c>
      <c r="F162" s="0" t="n">
        <f aca="false">SUMIFS(출고!$F$2:$F$1167,출고!$B$2:$B$1167,B162,출고!$C$2:$C$1167,C162)/SUMIFS(출고!$D$2:$D$1167,출고!$B$2:$B$1167,B162,출고!$C$2:$C$1167,C162)</f>
        <v>10854.7488584475</v>
      </c>
      <c r="G162" s="0" t="n">
        <f aca="false">D162*F162</f>
        <v>8054223.65296804</v>
      </c>
      <c r="H162" s="0" t="n">
        <f aca="false">INDEX(마스터!$E:$E,MATCH(C162,마스터!$A:$A,0))</f>
        <v>5390</v>
      </c>
      <c r="I162" s="0" t="n">
        <f aca="false">IF(OR(E162="개정판교체",E162="파본"),0,D162*H162)</f>
        <v>3999380</v>
      </c>
    </row>
    <row r="163" customFormat="false" ht="15" hidden="false" customHeight="false" outlineLevel="0" collapsed="false">
      <c r="A163" s="0" t="s">
        <v>91</v>
      </c>
      <c r="B163" s="1" t="s">
        <v>24</v>
      </c>
      <c r="C163" s="1" t="s">
        <v>60</v>
      </c>
      <c r="D163" s="0" t="n">
        <v>805</v>
      </c>
      <c r="E163" s="1" t="s">
        <v>116</v>
      </c>
      <c r="F163" s="0" t="n">
        <f aca="false">SUMIFS(출고!$F$2:$F$1167,출고!$B$2:$B$1167,B163,출고!$C$2:$C$1167,C163)/SUMIFS(출고!$D$2:$D$1167,출고!$B$2:$B$1167,B163,출고!$C$2:$C$1167,C163)</f>
        <v>13665.5523964257</v>
      </c>
      <c r="G163" s="0" t="n">
        <f aca="false">D163*F163</f>
        <v>11000769.6791227</v>
      </c>
      <c r="H163" s="0" t="n">
        <f aca="false">INDEX(마스터!$E:$E,MATCH(C163,마스터!$A:$A,0))</f>
        <v>6980</v>
      </c>
      <c r="I163" s="0" t="n">
        <f aca="false">IF(OR(E163="개정판교체",E163="파본"),0,D163*H163)</f>
        <v>5618900</v>
      </c>
    </row>
    <row r="164" customFormat="false" ht="15" hidden="false" customHeight="false" outlineLevel="0" collapsed="false">
      <c r="A164" s="0" t="s">
        <v>93</v>
      </c>
      <c r="B164" s="1" t="s">
        <v>14</v>
      </c>
      <c r="C164" s="1" t="s">
        <v>60</v>
      </c>
      <c r="D164" s="0" t="n">
        <v>3837</v>
      </c>
      <c r="E164" s="1" t="s">
        <v>116</v>
      </c>
      <c r="F164" s="0" t="n">
        <f aca="false">SUMIFS(출고!$F$2:$F$1167,출고!$B$2:$B$1167,B164,출고!$C$2:$C$1167,C164)/SUMIFS(출고!$D$2:$D$1167,출고!$B$2:$B$1167,B164,출고!$C$2:$C$1167,C164)</f>
        <v>12566.7032287965</v>
      </c>
      <c r="G164" s="0" t="n">
        <f aca="false">D164*F164</f>
        <v>48218440.2888923</v>
      </c>
      <c r="H164" s="0" t="n">
        <f aca="false">INDEX(마스터!$E:$E,MATCH(C164,마스터!$A:$A,0))</f>
        <v>6980</v>
      </c>
      <c r="I164" s="0" t="n">
        <f aca="false">IF(OR(E164="개정판교체",E164="파본"),0,D164*H164)</f>
        <v>26782260</v>
      </c>
    </row>
    <row r="165" customFormat="false" ht="15" hidden="false" customHeight="false" outlineLevel="0" collapsed="false">
      <c r="A165" s="0" t="s">
        <v>93</v>
      </c>
      <c r="B165" s="1" t="s">
        <v>14</v>
      </c>
      <c r="C165" s="1" t="s">
        <v>55</v>
      </c>
      <c r="D165" s="0" t="n">
        <v>2075</v>
      </c>
      <c r="E165" s="1" t="s">
        <v>117</v>
      </c>
      <c r="F165" s="0" t="n">
        <f aca="false">SUMIFS(출고!$F$2:$F$1167,출고!$B$2:$B$1167,B165,출고!$C$2:$C$1167,C165)/SUMIFS(출고!$D$2:$D$1167,출고!$B$2:$B$1167,B165,출고!$C$2:$C$1167,C165)</f>
        <v>11936.2885420632</v>
      </c>
      <c r="G165" s="0" t="n">
        <f aca="false">D165*F165</f>
        <v>24767798.7247811</v>
      </c>
      <c r="H165" s="0" t="n">
        <f aca="false">INDEX(마스터!$E:$E,MATCH(C165,마스터!$A:$A,0))</f>
        <v>6040</v>
      </c>
      <c r="I165" s="0" t="n">
        <f aca="false">IF(OR(E165="개정판교체",E165="파본"),0,D165*H165)</f>
        <v>12533000</v>
      </c>
    </row>
    <row r="166" customFormat="false" ht="15" hidden="false" customHeight="false" outlineLevel="0" collapsed="false">
      <c r="A166" s="0" t="s">
        <v>93</v>
      </c>
      <c r="B166" s="1" t="s">
        <v>14</v>
      </c>
      <c r="C166" s="1" t="s">
        <v>55</v>
      </c>
      <c r="D166" s="0" t="n">
        <v>1117</v>
      </c>
      <c r="E166" s="1" t="s">
        <v>118</v>
      </c>
      <c r="F166" s="0" t="n">
        <f aca="false">SUMIFS(출고!$F$2:$F$1167,출고!$B$2:$B$1167,B166,출고!$C$2:$C$1167,C166)/SUMIFS(출고!$D$2:$D$1167,출고!$B$2:$B$1167,B166,출고!$C$2:$C$1167,C166)</f>
        <v>11936.2885420632</v>
      </c>
      <c r="G166" s="0" t="n">
        <f aca="false">D166*F166</f>
        <v>13332834.3014846</v>
      </c>
      <c r="H166" s="0" t="n">
        <f aca="false">INDEX(마스터!$E:$E,MATCH(C166,마스터!$A:$A,0))</f>
        <v>6040</v>
      </c>
      <c r="I166" s="0" t="n">
        <f aca="false">IF(OR(E166="개정판교체",E166="파본"),0,D166*H166)</f>
        <v>0</v>
      </c>
    </row>
    <row r="167" customFormat="false" ht="15" hidden="false" customHeight="false" outlineLevel="0" collapsed="false">
      <c r="A167" s="0" t="s">
        <v>93</v>
      </c>
      <c r="B167" s="1" t="s">
        <v>14</v>
      </c>
      <c r="C167" s="1" t="s">
        <v>66</v>
      </c>
      <c r="D167" s="0" t="n">
        <v>4046</v>
      </c>
      <c r="E167" s="1" t="s">
        <v>117</v>
      </c>
      <c r="F167" s="0" t="n">
        <f aca="false">SUMIFS(출고!$F$2:$F$1167,출고!$B$2:$B$1167,B167,출고!$C$2:$C$1167,C167)/SUMIFS(출고!$D$2:$D$1167,출고!$B$2:$B$1167,B167,출고!$C$2:$C$1167,C167)</f>
        <v>11929.8916024553</v>
      </c>
      <c r="G167" s="0" t="n">
        <f aca="false">D167*F167</f>
        <v>48268341.423534</v>
      </c>
      <c r="H167" s="0" t="n">
        <f aca="false">INDEX(마스터!$E:$E,MATCH(C167,마스터!$A:$A,0))</f>
        <v>6360</v>
      </c>
      <c r="I167" s="0" t="n">
        <f aca="false">IF(OR(E167="개정판교체",E167="파본"),0,D167*H167)</f>
        <v>25732560</v>
      </c>
    </row>
    <row r="168" customFormat="false" ht="15" hidden="false" customHeight="false" outlineLevel="0" collapsed="false">
      <c r="A168" s="0" t="s">
        <v>93</v>
      </c>
      <c r="B168" s="1" t="s">
        <v>15</v>
      </c>
      <c r="C168" s="1" t="s">
        <v>37</v>
      </c>
      <c r="D168" s="0" t="n">
        <v>1319</v>
      </c>
      <c r="E168" s="1" t="s">
        <v>116</v>
      </c>
      <c r="F168" s="0" t="n">
        <f aca="false">SUMIFS(출고!$F$2:$F$1167,출고!$B$2:$B$1167,B168,출고!$C$2:$C$1167,C168)/SUMIFS(출고!$D$2:$D$1167,출고!$B$2:$B$1167,B168,출고!$C$2:$C$1167,C168)</f>
        <v>9748.36139435618</v>
      </c>
      <c r="G168" s="0" t="n">
        <f aca="false">D168*F168</f>
        <v>12858088.6791558</v>
      </c>
      <c r="H168" s="0" t="n">
        <f aca="false">INDEX(마스터!$E:$E,MATCH(C168,마스터!$A:$A,0))</f>
        <v>4900</v>
      </c>
      <c r="I168" s="0" t="n">
        <f aca="false">IF(OR(E168="개정판교체",E168="파본"),0,D168*H168)</f>
        <v>6463100</v>
      </c>
    </row>
    <row r="169" customFormat="false" ht="15" hidden="false" customHeight="false" outlineLevel="0" collapsed="false">
      <c r="A169" s="0" t="s">
        <v>93</v>
      </c>
      <c r="B169" s="1" t="s">
        <v>15</v>
      </c>
      <c r="C169" s="1" t="s">
        <v>34</v>
      </c>
      <c r="D169" s="0" t="n">
        <v>782</v>
      </c>
      <c r="E169" s="1" t="s">
        <v>119</v>
      </c>
      <c r="F169" s="0" t="n">
        <f aca="false">SUMIFS(출고!$F$2:$F$1167,출고!$B$2:$B$1167,B169,출고!$C$2:$C$1167,C169)/SUMIFS(출고!$D$2:$D$1167,출고!$B$2:$B$1167,B169,출고!$C$2:$C$1167,C169)</f>
        <v>12027.7838899804</v>
      </c>
      <c r="G169" s="0" t="n">
        <f aca="false">D169*F169</f>
        <v>9405727.00196464</v>
      </c>
      <c r="H169" s="0" t="n">
        <f aca="false">INDEX(마스터!$E:$E,MATCH(C169,마스터!$A:$A,0))</f>
        <v>6630</v>
      </c>
      <c r="I169" s="0" t="n">
        <f aca="false">IF(OR(E169="개정판교체",E169="파본"),0,D169*H169)</f>
        <v>5184660</v>
      </c>
    </row>
    <row r="170" customFormat="false" ht="15" hidden="false" customHeight="false" outlineLevel="0" collapsed="false">
      <c r="A170" s="0" t="s">
        <v>93</v>
      </c>
      <c r="B170" s="1" t="s">
        <v>15</v>
      </c>
      <c r="C170" s="1" t="s">
        <v>34</v>
      </c>
      <c r="D170" s="0" t="n">
        <v>614</v>
      </c>
      <c r="E170" s="1" t="s">
        <v>118</v>
      </c>
      <c r="F170" s="0" t="n">
        <f aca="false">SUMIFS(출고!$F$2:$F$1167,출고!$B$2:$B$1167,B170,출고!$C$2:$C$1167,C170)/SUMIFS(출고!$D$2:$D$1167,출고!$B$2:$B$1167,B170,출고!$C$2:$C$1167,C170)</f>
        <v>12027.7838899804</v>
      </c>
      <c r="G170" s="0" t="n">
        <f aca="false">D170*F170</f>
        <v>7385059.30844794</v>
      </c>
      <c r="H170" s="0" t="n">
        <f aca="false">INDEX(마스터!$E:$E,MATCH(C170,마스터!$A:$A,0))</f>
        <v>6630</v>
      </c>
      <c r="I170" s="0" t="n">
        <f aca="false">IF(OR(E170="개정판교체",E170="파본"),0,D170*H170)</f>
        <v>0</v>
      </c>
    </row>
    <row r="171" customFormat="false" ht="15" hidden="false" customHeight="false" outlineLevel="0" collapsed="false">
      <c r="A171" s="0" t="s">
        <v>93</v>
      </c>
      <c r="B171" s="1" t="s">
        <v>16</v>
      </c>
      <c r="C171" s="1" t="s">
        <v>47</v>
      </c>
      <c r="D171" s="0" t="n">
        <v>767</v>
      </c>
      <c r="E171" s="1" t="s">
        <v>117</v>
      </c>
      <c r="F171" s="0" t="n">
        <f aca="false">SUMIFS(출고!$F$2:$F$1167,출고!$B$2:$B$1167,B171,출고!$C$2:$C$1167,C171)/SUMIFS(출고!$D$2:$D$1167,출고!$B$2:$B$1167,B171,출고!$C$2:$C$1167,C171)</f>
        <v>9173.21741081445</v>
      </c>
      <c r="G171" s="0" t="n">
        <f aca="false">D171*F171</f>
        <v>7035857.75409468</v>
      </c>
      <c r="H171" s="0" t="n">
        <f aca="false">INDEX(마스터!$E:$E,MATCH(C171,마스터!$A:$A,0))</f>
        <v>4170</v>
      </c>
      <c r="I171" s="0" t="n">
        <f aca="false">IF(OR(E171="개정판교체",E171="파본"),0,D171*H171)</f>
        <v>3198390</v>
      </c>
    </row>
    <row r="172" customFormat="false" ht="15" hidden="false" customHeight="false" outlineLevel="0" collapsed="false">
      <c r="A172" s="0" t="s">
        <v>93</v>
      </c>
      <c r="B172" s="1" t="s">
        <v>16</v>
      </c>
      <c r="C172" s="1" t="s">
        <v>47</v>
      </c>
      <c r="D172" s="0" t="n">
        <v>620</v>
      </c>
      <c r="E172" s="1" t="s">
        <v>118</v>
      </c>
      <c r="F172" s="0" t="n">
        <f aca="false">SUMIFS(출고!$F$2:$F$1167,출고!$B$2:$B$1167,B172,출고!$C$2:$C$1167,C172)/SUMIFS(출고!$D$2:$D$1167,출고!$B$2:$B$1167,B172,출고!$C$2:$C$1167,C172)</f>
        <v>9173.21741081445</v>
      </c>
      <c r="G172" s="0" t="n">
        <f aca="false">D172*F172</f>
        <v>5687394.79470496</v>
      </c>
      <c r="H172" s="0" t="n">
        <f aca="false">INDEX(마스터!$E:$E,MATCH(C172,마스터!$A:$A,0))</f>
        <v>4170</v>
      </c>
      <c r="I172" s="0" t="n">
        <f aca="false">IF(OR(E172="개정판교체",E172="파본"),0,D172*H172)</f>
        <v>0</v>
      </c>
    </row>
    <row r="173" customFormat="false" ht="15" hidden="false" customHeight="false" outlineLevel="0" collapsed="false">
      <c r="A173" s="0" t="s">
        <v>93</v>
      </c>
      <c r="B173" s="1" t="s">
        <v>17</v>
      </c>
      <c r="C173" s="1" t="s">
        <v>45</v>
      </c>
      <c r="D173" s="0" t="n">
        <v>1027</v>
      </c>
      <c r="E173" s="1" t="s">
        <v>116</v>
      </c>
      <c r="F173" s="0" t="n">
        <f aca="false">SUMIFS(출고!$F$2:$F$1167,출고!$B$2:$B$1167,B173,출고!$C$2:$C$1167,C173)/SUMIFS(출고!$D$2:$D$1167,출고!$B$2:$B$1167,B173,출고!$C$2:$C$1167,C173)</f>
        <v>11926.6404935502</v>
      </c>
      <c r="G173" s="0" t="n">
        <f aca="false">D173*F173</f>
        <v>12248659.7868761</v>
      </c>
      <c r="H173" s="0" t="n">
        <f aca="false">INDEX(마스터!$E:$E,MATCH(C173,마스터!$A:$A,0))</f>
        <v>6110</v>
      </c>
      <c r="I173" s="0" t="n">
        <f aca="false">IF(OR(E173="개정판교체",E173="파본"),0,D173*H173)</f>
        <v>6274970</v>
      </c>
    </row>
    <row r="174" customFormat="false" ht="15" hidden="false" customHeight="false" outlineLevel="0" collapsed="false">
      <c r="A174" s="0" t="s">
        <v>93</v>
      </c>
      <c r="B174" s="1" t="s">
        <v>17</v>
      </c>
      <c r="C174" s="1" t="s">
        <v>61</v>
      </c>
      <c r="D174" s="0" t="n">
        <v>941</v>
      </c>
      <c r="E174" s="1" t="s">
        <v>117</v>
      </c>
      <c r="F174" s="0" t="n">
        <f aca="false">SUMIFS(출고!$F$2:$F$1167,출고!$B$2:$B$1167,B174,출고!$C$2:$C$1167,C174)/SUMIFS(출고!$D$2:$D$1167,출고!$B$2:$B$1167,B174,출고!$C$2:$C$1167,C174)</f>
        <v>9996.84696569921</v>
      </c>
      <c r="G174" s="0" t="n">
        <f aca="false">D174*F174</f>
        <v>9407032.99472296</v>
      </c>
      <c r="H174" s="0" t="n">
        <f aca="false">INDEX(마스터!$E:$E,MATCH(C174,마스터!$A:$A,0))</f>
        <v>5390</v>
      </c>
      <c r="I174" s="0" t="n">
        <f aca="false">IF(OR(E174="개정판교체",E174="파본"),0,D174*H174)</f>
        <v>5071990</v>
      </c>
    </row>
    <row r="175" customFormat="false" ht="15" hidden="false" customHeight="false" outlineLevel="0" collapsed="false">
      <c r="A175" s="0" t="s">
        <v>93</v>
      </c>
      <c r="B175" s="1" t="s">
        <v>18</v>
      </c>
      <c r="C175" s="1" t="s">
        <v>34</v>
      </c>
      <c r="D175" s="0" t="n">
        <v>378</v>
      </c>
      <c r="E175" s="1" t="s">
        <v>116</v>
      </c>
      <c r="F175" s="0" t="n">
        <f aca="false">SUMIFS(출고!$F$2:$F$1167,출고!$B$2:$B$1167,B175,출고!$C$2:$C$1167,C175)/SUMIFS(출고!$D$2:$D$1167,출고!$B$2:$B$1167,B175,출고!$C$2:$C$1167,C175)</f>
        <v>13142.2388059702</v>
      </c>
      <c r="G175" s="0" t="n">
        <f aca="false">D175*F175</f>
        <v>4967766.26865672</v>
      </c>
      <c r="H175" s="0" t="n">
        <f aca="false">INDEX(마스터!$E:$E,MATCH(C175,마스터!$A:$A,0))</f>
        <v>6630</v>
      </c>
      <c r="I175" s="0" t="n">
        <f aca="false">IF(OR(E175="개정판교체",E175="파본"),0,D175*H175)</f>
        <v>2506140</v>
      </c>
    </row>
    <row r="176" customFormat="false" ht="15" hidden="false" customHeight="false" outlineLevel="0" collapsed="false">
      <c r="A176" s="0" t="s">
        <v>93</v>
      </c>
      <c r="B176" s="1" t="s">
        <v>18</v>
      </c>
      <c r="C176" s="1" t="s">
        <v>34</v>
      </c>
      <c r="D176" s="0" t="n">
        <v>297</v>
      </c>
      <c r="E176" s="1" t="s">
        <v>118</v>
      </c>
      <c r="F176" s="0" t="n">
        <f aca="false">SUMIFS(출고!$F$2:$F$1167,출고!$B$2:$B$1167,B176,출고!$C$2:$C$1167,C176)/SUMIFS(출고!$D$2:$D$1167,출고!$B$2:$B$1167,B176,출고!$C$2:$C$1167,C176)</f>
        <v>13142.2388059702</v>
      </c>
      <c r="G176" s="0" t="n">
        <f aca="false">D176*F176</f>
        <v>3903244.92537313</v>
      </c>
      <c r="H176" s="0" t="n">
        <f aca="false">INDEX(마스터!$E:$E,MATCH(C176,마스터!$A:$A,0))</f>
        <v>6630</v>
      </c>
      <c r="I176" s="0" t="n">
        <f aca="false">IF(OR(E176="개정판교체",E176="파본"),0,D176*H176)</f>
        <v>0</v>
      </c>
    </row>
    <row r="177" customFormat="false" ht="15" hidden="false" customHeight="false" outlineLevel="0" collapsed="false">
      <c r="A177" s="0" t="s">
        <v>93</v>
      </c>
      <c r="B177" s="1" t="s">
        <v>19</v>
      </c>
      <c r="C177" s="1" t="s">
        <v>55</v>
      </c>
      <c r="D177" s="0" t="n">
        <v>556</v>
      </c>
      <c r="E177" s="1" t="s">
        <v>117</v>
      </c>
      <c r="F177" s="0" t="n">
        <f aca="false">SUMIFS(출고!$F$2:$F$1167,출고!$B$2:$B$1167,B177,출고!$C$2:$C$1167,C177)/SUMIFS(출고!$D$2:$D$1167,출고!$B$2:$B$1167,B177,출고!$C$2:$C$1167,C177)</f>
        <v>11992.2881355932</v>
      </c>
      <c r="G177" s="0" t="n">
        <f aca="false">D177*F177</f>
        <v>6667712.20338983</v>
      </c>
      <c r="H177" s="0" t="n">
        <f aca="false">INDEX(마스터!$E:$E,MATCH(C177,마스터!$A:$A,0))</f>
        <v>6040</v>
      </c>
      <c r="I177" s="0" t="n">
        <f aca="false">IF(OR(E177="개정판교체",E177="파본"),0,D177*H177)</f>
        <v>3358240</v>
      </c>
    </row>
    <row r="178" customFormat="false" ht="15" hidden="false" customHeight="false" outlineLevel="0" collapsed="false">
      <c r="A178" s="0" t="s">
        <v>93</v>
      </c>
      <c r="B178" s="1" t="s">
        <v>19</v>
      </c>
      <c r="C178" s="1" t="s">
        <v>55</v>
      </c>
      <c r="D178" s="0" t="n">
        <v>300</v>
      </c>
      <c r="E178" s="1" t="s">
        <v>118</v>
      </c>
      <c r="F178" s="0" t="n">
        <f aca="false">SUMIFS(출고!$F$2:$F$1167,출고!$B$2:$B$1167,B178,출고!$C$2:$C$1167,C178)/SUMIFS(출고!$D$2:$D$1167,출고!$B$2:$B$1167,B178,출고!$C$2:$C$1167,C178)</f>
        <v>11992.2881355932</v>
      </c>
      <c r="G178" s="0" t="n">
        <f aca="false">D178*F178</f>
        <v>3597686.44067797</v>
      </c>
      <c r="H178" s="0" t="n">
        <f aca="false">INDEX(마스터!$E:$E,MATCH(C178,마스터!$A:$A,0))</f>
        <v>6040</v>
      </c>
      <c r="I178" s="0" t="n">
        <f aca="false">IF(OR(E178="개정판교체",E178="파본"),0,D178*H178)</f>
        <v>0</v>
      </c>
    </row>
    <row r="179" customFormat="false" ht="15" hidden="false" customHeight="false" outlineLevel="0" collapsed="false">
      <c r="A179" s="0" t="s">
        <v>93</v>
      </c>
      <c r="B179" s="1" t="s">
        <v>20</v>
      </c>
      <c r="C179" s="1" t="s">
        <v>59</v>
      </c>
      <c r="D179" s="0" t="n">
        <v>840</v>
      </c>
      <c r="E179" s="1" t="s">
        <v>116</v>
      </c>
      <c r="F179" s="0" t="n">
        <f aca="false">SUMIFS(출고!$F$2:$F$1167,출고!$B$2:$B$1167,B179,출고!$C$2:$C$1167,C179)/SUMIFS(출고!$D$2:$D$1167,출고!$B$2:$B$1167,B179,출고!$C$2:$C$1167,C179)</f>
        <v>14098.7883887253</v>
      </c>
      <c r="G179" s="0" t="n">
        <f aca="false">D179*F179</f>
        <v>11842982.2465292</v>
      </c>
      <c r="H179" s="0" t="n">
        <f aca="false">INDEX(마스터!$E:$E,MATCH(C179,마스터!$A:$A,0))</f>
        <v>6520</v>
      </c>
      <c r="I179" s="0" t="n">
        <f aca="false">IF(OR(E179="개정판교체",E179="파본"),0,D179*H179)</f>
        <v>5476800</v>
      </c>
    </row>
    <row r="180" customFormat="false" ht="15" hidden="false" customHeight="false" outlineLevel="0" collapsed="false">
      <c r="A180" s="0" t="s">
        <v>93</v>
      </c>
      <c r="B180" s="1" t="s">
        <v>21</v>
      </c>
      <c r="C180" s="1" t="s">
        <v>48</v>
      </c>
      <c r="D180" s="0" t="n">
        <v>678</v>
      </c>
      <c r="E180" s="1" t="s">
        <v>116</v>
      </c>
      <c r="F180" s="0" t="n">
        <f aca="false">SUMIFS(출고!$F$2:$F$1167,출고!$B$2:$B$1167,B180,출고!$C$2:$C$1167,C180)/SUMIFS(출고!$D$2:$D$1167,출고!$B$2:$B$1167,B180,출고!$C$2:$C$1167,C180)</f>
        <v>12961.5133779264</v>
      </c>
      <c r="G180" s="0" t="n">
        <f aca="false">D180*F180</f>
        <v>8787906.07023411</v>
      </c>
      <c r="H180" s="0" t="n">
        <f aca="false">INDEX(마스터!$E:$E,MATCH(C180,마스터!$A:$A,0))</f>
        <v>6440</v>
      </c>
      <c r="I180" s="0" t="n">
        <f aca="false">IF(OR(E180="개정판교체",E180="파본"),0,D180*H180)</f>
        <v>4366320</v>
      </c>
    </row>
    <row r="181" customFormat="false" ht="15" hidden="false" customHeight="false" outlineLevel="0" collapsed="false">
      <c r="A181" s="0" t="s">
        <v>93</v>
      </c>
      <c r="B181" s="1" t="s">
        <v>21</v>
      </c>
      <c r="C181" s="1" t="s">
        <v>48</v>
      </c>
      <c r="D181" s="0" t="n">
        <v>578</v>
      </c>
      <c r="E181" s="1" t="s">
        <v>118</v>
      </c>
      <c r="F181" s="0" t="n">
        <f aca="false">SUMIFS(출고!$F$2:$F$1167,출고!$B$2:$B$1167,B181,출고!$C$2:$C$1167,C181)/SUMIFS(출고!$D$2:$D$1167,출고!$B$2:$B$1167,B181,출고!$C$2:$C$1167,C181)</f>
        <v>12961.5133779264</v>
      </c>
      <c r="G181" s="0" t="n">
        <f aca="false">D181*F181</f>
        <v>7491754.73244147</v>
      </c>
      <c r="H181" s="0" t="n">
        <f aca="false">INDEX(마스터!$E:$E,MATCH(C181,마스터!$A:$A,0))</f>
        <v>6440</v>
      </c>
      <c r="I181" s="0" t="n">
        <f aca="false">IF(OR(E181="개정판교체",E181="파본"),0,D181*H181)</f>
        <v>0</v>
      </c>
    </row>
    <row r="182" customFormat="false" ht="15" hidden="false" customHeight="false" outlineLevel="0" collapsed="false">
      <c r="A182" s="0" t="s">
        <v>93</v>
      </c>
      <c r="B182" s="1" t="s">
        <v>22</v>
      </c>
      <c r="C182" s="1" t="s">
        <v>36</v>
      </c>
      <c r="D182" s="0" t="n">
        <v>1030</v>
      </c>
      <c r="E182" s="1" t="s">
        <v>116</v>
      </c>
      <c r="F182" s="0" t="n">
        <f aca="false">SUMIFS(출고!$F$2:$F$1167,출고!$B$2:$B$1167,B182,출고!$C$2:$C$1167,C182)/SUMIFS(출고!$D$2:$D$1167,출고!$B$2:$B$1167,B182,출고!$C$2:$C$1167,C182)</f>
        <v>10184.7796474359</v>
      </c>
      <c r="G182" s="0" t="n">
        <f aca="false">D182*F182</f>
        <v>10490323.036859</v>
      </c>
      <c r="H182" s="0" t="n">
        <f aca="false">INDEX(마스터!$E:$E,MATCH(C182,마스터!$A:$A,0))</f>
        <v>4540</v>
      </c>
      <c r="I182" s="0" t="n">
        <f aca="false">IF(OR(E182="개정판교체",E182="파본"),0,D182*H182)</f>
        <v>4676200</v>
      </c>
    </row>
    <row r="183" customFormat="false" ht="15" hidden="false" customHeight="false" outlineLevel="0" collapsed="false">
      <c r="A183" s="0" t="s">
        <v>93</v>
      </c>
      <c r="B183" s="1" t="s">
        <v>23</v>
      </c>
      <c r="C183" s="1" t="s">
        <v>42</v>
      </c>
      <c r="D183" s="0" t="n">
        <v>440</v>
      </c>
      <c r="E183" s="1" t="s">
        <v>116</v>
      </c>
      <c r="F183" s="0" t="n">
        <f aca="false">SUMIFS(출고!$F$2:$F$1167,출고!$B$2:$B$1167,B183,출고!$C$2:$C$1167,C183)/SUMIFS(출고!$D$2:$D$1167,출고!$B$2:$B$1167,B183,출고!$C$2:$C$1167,C183)</f>
        <v>13257.2583608967</v>
      </c>
      <c r="G183" s="0" t="n">
        <f aca="false">D183*F183</f>
        <v>5833193.67879456</v>
      </c>
      <c r="H183" s="0" t="n">
        <f aca="false">INDEX(마스터!$E:$E,MATCH(C183,마스터!$A:$A,0))</f>
        <v>6730</v>
      </c>
      <c r="I183" s="0" t="n">
        <f aca="false">IF(OR(E183="개정판교체",E183="파본"),0,D183*H183)</f>
        <v>2961200</v>
      </c>
    </row>
    <row r="184" customFormat="false" ht="15" hidden="false" customHeight="false" outlineLevel="0" collapsed="false">
      <c r="A184" s="0" t="s">
        <v>93</v>
      </c>
      <c r="B184" s="1" t="s">
        <v>23</v>
      </c>
      <c r="C184" s="1" t="s">
        <v>42</v>
      </c>
      <c r="D184" s="0" t="n">
        <v>269</v>
      </c>
      <c r="E184" s="1" t="s">
        <v>118</v>
      </c>
      <c r="F184" s="0" t="n">
        <f aca="false">SUMIFS(출고!$F$2:$F$1167,출고!$B$2:$B$1167,B184,출고!$C$2:$C$1167,C184)/SUMIFS(출고!$D$2:$D$1167,출고!$B$2:$B$1167,B184,출고!$C$2:$C$1167,C184)</f>
        <v>13257.2583608967</v>
      </c>
      <c r="G184" s="0" t="n">
        <f aca="false">D184*F184</f>
        <v>3566202.49908122</v>
      </c>
      <c r="H184" s="0" t="n">
        <f aca="false">INDEX(마스터!$E:$E,MATCH(C184,마스터!$A:$A,0))</f>
        <v>6730</v>
      </c>
      <c r="I184" s="0" t="n">
        <f aca="false">IF(OR(E184="개정판교체",E184="파본"),0,D184*H184)</f>
        <v>0</v>
      </c>
    </row>
    <row r="185" customFormat="false" ht="15" hidden="false" customHeight="false" outlineLevel="0" collapsed="false">
      <c r="A185" s="0" t="s">
        <v>93</v>
      </c>
      <c r="B185" s="1" t="s">
        <v>25</v>
      </c>
      <c r="C185" s="1" t="s">
        <v>57</v>
      </c>
      <c r="D185" s="0" t="n">
        <v>685</v>
      </c>
      <c r="E185" s="1" t="s">
        <v>117</v>
      </c>
      <c r="F185" s="0" t="n">
        <f aca="false">SUMIFS(출고!$F$2:$F$1167,출고!$B$2:$B$1167,B185,출고!$C$2:$C$1167,C185)/SUMIFS(출고!$D$2:$D$1167,출고!$B$2:$B$1167,B185,출고!$C$2:$C$1167,C185)</f>
        <v>10494.748</v>
      </c>
      <c r="G185" s="0" t="n">
        <f aca="false">D185*F185</f>
        <v>7188902.38</v>
      </c>
      <c r="H185" s="0" t="n">
        <f aca="false">INDEX(마스터!$E:$E,MATCH(C185,마스터!$A:$A,0))</f>
        <v>4870</v>
      </c>
      <c r="I185" s="0" t="n">
        <f aca="false">IF(OR(E185="개정판교체",E185="파본"),0,D185*H185)</f>
        <v>3335950</v>
      </c>
    </row>
    <row r="186" customFormat="false" ht="15" hidden="false" customHeight="false" outlineLevel="0" collapsed="false">
      <c r="A186" s="0" t="s">
        <v>93</v>
      </c>
      <c r="B186" s="1" t="s">
        <v>24</v>
      </c>
      <c r="C186" s="1" t="s">
        <v>67</v>
      </c>
      <c r="D186" s="0" t="n">
        <v>705</v>
      </c>
      <c r="E186" s="1" t="s">
        <v>116</v>
      </c>
      <c r="F186" s="0" t="n">
        <f aca="false">SUMIFS(출고!$F$2:$F$1167,출고!$B$2:$B$1167,B186,출고!$C$2:$C$1167,C186)/SUMIFS(출고!$D$2:$D$1167,출고!$B$2:$B$1167,B186,출고!$C$2:$C$1167,C186)</f>
        <v>9806.31034482759</v>
      </c>
      <c r="G186" s="0" t="n">
        <f aca="false">D186*F186</f>
        <v>6913448.79310345</v>
      </c>
      <c r="H186" s="0" t="n">
        <f aca="false">INDEX(마스터!$E:$E,MATCH(C186,마스터!$A:$A,0))</f>
        <v>4360</v>
      </c>
      <c r="I186" s="0" t="n">
        <f aca="false">IF(OR(E186="개정판교체",E186="파본"),0,D186*H186)</f>
        <v>3073800</v>
      </c>
    </row>
    <row r="187" customFormat="false" ht="15" hidden="false" customHeight="false" outlineLevel="0" collapsed="false">
      <c r="A187" s="0" t="s">
        <v>94</v>
      </c>
      <c r="B187" s="1" t="s">
        <v>14</v>
      </c>
      <c r="C187" s="1" t="s">
        <v>80</v>
      </c>
      <c r="D187" s="0" t="n">
        <v>2846</v>
      </c>
      <c r="E187" s="1" t="s">
        <v>117</v>
      </c>
      <c r="F187" s="0" t="n">
        <f aca="false">SUMIFS(출고!$F$2:$F$1167,출고!$B$2:$B$1167,B187,출고!$C$2:$C$1167,C187)/SUMIFS(출고!$D$2:$D$1167,출고!$B$2:$B$1167,B187,출고!$C$2:$C$1167,C187)</f>
        <v>9028.2937603534</v>
      </c>
      <c r="G187" s="0" t="n">
        <f aca="false">D187*F187</f>
        <v>25694524.0419658</v>
      </c>
      <c r="H187" s="0" t="n">
        <f aca="false">INDEX(마스터!$E:$E,MATCH(C187,마스터!$A:$A,0))</f>
        <v>4690</v>
      </c>
      <c r="I187" s="0" t="n">
        <f aca="false">IF(OR(E187="개정판교체",E187="파본"),0,D187*H187)</f>
        <v>13347740</v>
      </c>
    </row>
    <row r="188" customFormat="false" ht="15" hidden="false" customHeight="false" outlineLevel="0" collapsed="false">
      <c r="A188" s="0" t="s">
        <v>94</v>
      </c>
      <c r="B188" s="1" t="s">
        <v>14</v>
      </c>
      <c r="C188" s="1" t="s">
        <v>47</v>
      </c>
      <c r="D188" s="0" t="n">
        <v>5856</v>
      </c>
      <c r="E188" s="1" t="s">
        <v>120</v>
      </c>
      <c r="F188" s="0" t="n">
        <f aca="false">SUMIFS(출고!$F$2:$F$1167,출고!$B$2:$B$1167,B188,출고!$C$2:$C$1167,C188)/SUMIFS(출고!$D$2:$D$1167,출고!$B$2:$B$1167,B188,출고!$C$2:$C$1167,C188)</f>
        <v>8382.27260602828</v>
      </c>
      <c r="G188" s="0" t="n">
        <f aca="false">D188*F188</f>
        <v>49086588.3809016</v>
      </c>
      <c r="H188" s="0" t="n">
        <f aca="false">INDEX(마스터!$E:$E,MATCH(C188,마스터!$A:$A,0))</f>
        <v>4170</v>
      </c>
      <c r="I188" s="0" t="n">
        <f aca="false">IF(OR(E188="개정판교체",E188="파본"),0,D188*H188)</f>
        <v>0</v>
      </c>
    </row>
    <row r="189" customFormat="false" ht="15" hidden="false" customHeight="false" outlineLevel="0" collapsed="false">
      <c r="A189" s="0" t="s">
        <v>94</v>
      </c>
      <c r="B189" s="1" t="s">
        <v>14</v>
      </c>
      <c r="C189" s="1" t="s">
        <v>47</v>
      </c>
      <c r="D189" s="0" t="n">
        <v>5267</v>
      </c>
      <c r="E189" s="1" t="s">
        <v>116</v>
      </c>
      <c r="F189" s="0" t="n">
        <f aca="false">SUMIFS(출고!$F$2:$F$1167,출고!$B$2:$B$1167,B189,출고!$C$2:$C$1167,C189)/SUMIFS(출고!$D$2:$D$1167,출고!$B$2:$B$1167,B189,출고!$C$2:$C$1167,C189)</f>
        <v>8382.27260602828</v>
      </c>
      <c r="G189" s="0" t="n">
        <f aca="false">D189*F189</f>
        <v>44149429.8159509</v>
      </c>
      <c r="H189" s="0" t="n">
        <f aca="false">INDEX(마스터!$E:$E,MATCH(C189,마스터!$A:$A,0))</f>
        <v>4170</v>
      </c>
      <c r="I189" s="0" t="n">
        <f aca="false">IF(OR(E189="개정판교체",E189="파본"),0,D189*H189)</f>
        <v>21963390</v>
      </c>
    </row>
    <row r="190" customFormat="false" ht="15" hidden="false" customHeight="false" outlineLevel="0" collapsed="false">
      <c r="A190" s="0" t="s">
        <v>94</v>
      </c>
      <c r="B190" s="1" t="s">
        <v>14</v>
      </c>
      <c r="C190" s="1" t="s">
        <v>47</v>
      </c>
      <c r="D190" s="0" t="n">
        <v>4247</v>
      </c>
      <c r="E190" s="1" t="s">
        <v>117</v>
      </c>
      <c r="F190" s="0" t="n">
        <f aca="false">SUMIFS(출고!$F$2:$F$1167,출고!$B$2:$B$1167,B190,출고!$C$2:$C$1167,C190)/SUMIFS(출고!$D$2:$D$1167,출고!$B$2:$B$1167,B190,출고!$C$2:$C$1167,C190)</f>
        <v>8382.27260602828</v>
      </c>
      <c r="G190" s="0" t="n">
        <f aca="false">D190*F190</f>
        <v>35599511.7578021</v>
      </c>
      <c r="H190" s="0" t="n">
        <f aca="false">INDEX(마스터!$E:$E,MATCH(C190,마스터!$A:$A,0))</f>
        <v>4170</v>
      </c>
      <c r="I190" s="0" t="n">
        <f aca="false">IF(OR(E190="개정판교체",E190="파본"),0,D190*H190)</f>
        <v>17709990</v>
      </c>
    </row>
    <row r="191" customFormat="false" ht="15" hidden="false" customHeight="false" outlineLevel="0" collapsed="false">
      <c r="A191" s="0" t="s">
        <v>94</v>
      </c>
      <c r="B191" s="1" t="s">
        <v>15</v>
      </c>
      <c r="C191" s="1" t="s">
        <v>47</v>
      </c>
      <c r="D191" s="0" t="n">
        <v>3809</v>
      </c>
      <c r="E191" s="1" t="s">
        <v>120</v>
      </c>
      <c r="F191" s="0" t="n">
        <f aca="false">SUMIFS(출고!$F$2:$F$1167,출고!$B$2:$B$1167,B191,출고!$C$2:$C$1167,C191)/SUMIFS(출고!$D$2:$D$1167,출고!$B$2:$B$1167,B191,출고!$C$2:$C$1167,C191)</f>
        <v>8455.46315291147</v>
      </c>
      <c r="G191" s="0" t="n">
        <f aca="false">D191*F191</f>
        <v>32206859.1494398</v>
      </c>
      <c r="H191" s="0" t="n">
        <f aca="false">INDEX(마스터!$E:$E,MATCH(C191,마스터!$A:$A,0))</f>
        <v>4170</v>
      </c>
      <c r="I191" s="0" t="n">
        <f aca="false">IF(OR(E191="개정판교체",E191="파본"),0,D191*H191)</f>
        <v>0</v>
      </c>
    </row>
    <row r="192" customFormat="false" ht="15" hidden="false" customHeight="false" outlineLevel="0" collapsed="false">
      <c r="A192" s="0" t="s">
        <v>94</v>
      </c>
      <c r="B192" s="1" t="s">
        <v>15</v>
      </c>
      <c r="C192" s="1" t="s">
        <v>47</v>
      </c>
      <c r="D192" s="0" t="n">
        <v>3413</v>
      </c>
      <c r="E192" s="1" t="s">
        <v>116</v>
      </c>
      <c r="F192" s="0" t="n">
        <f aca="false">SUMIFS(출고!$F$2:$F$1167,출고!$B$2:$B$1167,B192,출고!$C$2:$C$1167,C192)/SUMIFS(출고!$D$2:$D$1167,출고!$B$2:$B$1167,B192,출고!$C$2:$C$1167,C192)</f>
        <v>8455.46315291147</v>
      </c>
      <c r="G192" s="0" t="n">
        <f aca="false">D192*F192</f>
        <v>28858495.7408869</v>
      </c>
      <c r="H192" s="0" t="n">
        <f aca="false">INDEX(마스터!$E:$E,MATCH(C192,마스터!$A:$A,0))</f>
        <v>4170</v>
      </c>
      <c r="I192" s="0" t="n">
        <f aca="false">IF(OR(E192="개정판교체",E192="파본"),0,D192*H192)</f>
        <v>14232210</v>
      </c>
    </row>
    <row r="193" customFormat="false" ht="15" hidden="false" customHeight="false" outlineLevel="0" collapsed="false">
      <c r="A193" s="0" t="s">
        <v>94</v>
      </c>
      <c r="B193" s="1" t="s">
        <v>16</v>
      </c>
      <c r="C193" s="1" t="s">
        <v>45</v>
      </c>
      <c r="D193" s="0" t="n">
        <v>664</v>
      </c>
      <c r="E193" s="1" t="s">
        <v>116</v>
      </c>
      <c r="F193" s="0" t="n">
        <f aca="false">SUMIFS(출고!$F$2:$F$1167,출고!$B$2:$B$1167,B193,출고!$C$2:$C$1167,C193)/SUMIFS(출고!$D$2:$D$1167,출고!$B$2:$B$1167,B193,출고!$C$2:$C$1167,C193)</f>
        <v>12973.2855813953</v>
      </c>
      <c r="G193" s="0" t="n">
        <f aca="false">D193*F193</f>
        <v>8614261.62604651</v>
      </c>
      <c r="H193" s="0" t="n">
        <f aca="false">INDEX(마스터!$E:$E,MATCH(C193,마스터!$A:$A,0))</f>
        <v>6110</v>
      </c>
      <c r="I193" s="0" t="n">
        <f aca="false">IF(OR(E193="개정판교체",E193="파본"),0,D193*H193)</f>
        <v>4057040</v>
      </c>
    </row>
    <row r="194" customFormat="false" ht="15" hidden="false" customHeight="false" outlineLevel="0" collapsed="false">
      <c r="A194" s="0" t="s">
        <v>94</v>
      </c>
      <c r="B194" s="1" t="s">
        <v>16</v>
      </c>
      <c r="C194" s="1" t="s">
        <v>38</v>
      </c>
      <c r="D194" s="0" t="n">
        <v>572</v>
      </c>
      <c r="E194" s="1" t="s">
        <v>116</v>
      </c>
      <c r="F194" s="0" t="n">
        <f aca="false">SUMIFS(출고!$F$2:$F$1167,출고!$B$2:$B$1167,B194,출고!$C$2:$C$1167,C194)/SUMIFS(출고!$D$2:$D$1167,출고!$B$2:$B$1167,B194,출고!$C$2:$C$1167,C194)</f>
        <v>12452.79296875</v>
      </c>
      <c r="G194" s="0" t="n">
        <f aca="false">D194*F194</f>
        <v>7122997.578125</v>
      </c>
      <c r="H194" s="0" t="n">
        <f aca="false">INDEX(마스터!$E:$E,MATCH(C194,마스터!$A:$A,0))</f>
        <v>5670</v>
      </c>
      <c r="I194" s="0" t="n">
        <f aca="false">IF(OR(E194="개정판교체",E194="파본"),0,D194*H194)</f>
        <v>3243240</v>
      </c>
    </row>
    <row r="195" customFormat="false" ht="15" hidden="false" customHeight="false" outlineLevel="0" collapsed="false">
      <c r="A195" s="0" t="s">
        <v>94</v>
      </c>
      <c r="B195" s="1" t="s">
        <v>16</v>
      </c>
      <c r="C195" s="1" t="s">
        <v>60</v>
      </c>
      <c r="D195" s="0" t="n">
        <v>731</v>
      </c>
      <c r="E195" s="1" t="s">
        <v>116</v>
      </c>
      <c r="F195" s="0" t="n">
        <f aca="false">SUMIFS(출고!$F$2:$F$1167,출고!$B$2:$B$1167,B195,출고!$C$2:$C$1167,C195)/SUMIFS(출고!$D$2:$D$1167,출고!$B$2:$B$1167,B195,출고!$C$2:$C$1167,C195)</f>
        <v>13678.7338910242</v>
      </c>
      <c r="G195" s="0" t="n">
        <f aca="false">D195*F195</f>
        <v>9999154.47433868</v>
      </c>
      <c r="H195" s="0" t="n">
        <f aca="false">INDEX(마스터!$E:$E,MATCH(C195,마스터!$A:$A,0))</f>
        <v>6980</v>
      </c>
      <c r="I195" s="0" t="n">
        <f aca="false">IF(OR(E195="개정판교체",E195="파본"),0,D195*H195)</f>
        <v>5102380</v>
      </c>
    </row>
    <row r="196" customFormat="false" ht="15" hidden="false" customHeight="false" outlineLevel="0" collapsed="false">
      <c r="A196" s="0" t="s">
        <v>94</v>
      </c>
      <c r="B196" s="1" t="s">
        <v>16</v>
      </c>
      <c r="C196" s="1" t="s">
        <v>47</v>
      </c>
      <c r="D196" s="0" t="n">
        <v>1565</v>
      </c>
      <c r="E196" s="1" t="s">
        <v>120</v>
      </c>
      <c r="F196" s="0" t="n">
        <f aca="false">SUMIFS(출고!$F$2:$F$1167,출고!$B$2:$B$1167,B196,출고!$C$2:$C$1167,C196)/SUMIFS(출고!$D$2:$D$1167,출고!$B$2:$B$1167,B196,출고!$C$2:$C$1167,C196)</f>
        <v>9173.21741081445</v>
      </c>
      <c r="G196" s="0" t="n">
        <f aca="false">D196*F196</f>
        <v>14356085.2479246</v>
      </c>
      <c r="H196" s="0" t="n">
        <f aca="false">INDEX(마스터!$E:$E,MATCH(C196,마스터!$A:$A,0))</f>
        <v>4170</v>
      </c>
      <c r="I196" s="0" t="n">
        <f aca="false">IF(OR(E196="개정판교체",E196="파본"),0,D196*H196)</f>
        <v>0</v>
      </c>
    </row>
    <row r="197" customFormat="false" ht="15" hidden="false" customHeight="false" outlineLevel="0" collapsed="false">
      <c r="A197" s="0" t="s">
        <v>94</v>
      </c>
      <c r="B197" s="1" t="s">
        <v>17</v>
      </c>
      <c r="C197" s="1" t="s">
        <v>47</v>
      </c>
      <c r="D197" s="0" t="n">
        <v>2370</v>
      </c>
      <c r="E197" s="1" t="s">
        <v>120</v>
      </c>
      <c r="F197" s="0" t="n">
        <f aca="false">SUMIFS(출고!$F$2:$F$1167,출고!$B$2:$B$1167,B197,출고!$C$2:$C$1167,C197)/SUMIFS(출고!$D$2:$D$1167,출고!$B$2:$B$1167,B197,출고!$C$2:$C$1167,C197)</f>
        <v>8386.65559982293</v>
      </c>
      <c r="G197" s="0" t="n">
        <f aca="false">D197*F197</f>
        <v>19876373.7715803</v>
      </c>
      <c r="H197" s="0" t="n">
        <f aca="false">INDEX(마스터!$E:$E,MATCH(C197,마스터!$A:$A,0))</f>
        <v>4170</v>
      </c>
      <c r="I197" s="0" t="n">
        <f aca="false">IF(OR(E197="개정판교체",E197="파본"),0,D197*H197)</f>
        <v>0</v>
      </c>
    </row>
    <row r="198" customFormat="false" ht="15" hidden="false" customHeight="false" outlineLevel="0" collapsed="false">
      <c r="A198" s="0" t="s">
        <v>94</v>
      </c>
      <c r="B198" s="1" t="s">
        <v>17</v>
      </c>
      <c r="C198" s="1" t="s">
        <v>47</v>
      </c>
      <c r="D198" s="0" t="n">
        <v>418</v>
      </c>
      <c r="E198" s="1" t="s">
        <v>116</v>
      </c>
      <c r="F198" s="0" t="n">
        <f aca="false">SUMIFS(출고!$F$2:$F$1167,출고!$B$2:$B$1167,B198,출고!$C$2:$C$1167,C198)/SUMIFS(출고!$D$2:$D$1167,출고!$B$2:$B$1167,B198,출고!$C$2:$C$1167,C198)</f>
        <v>8386.65559982293</v>
      </c>
      <c r="G198" s="0" t="n">
        <f aca="false">D198*F198</f>
        <v>3505622.04072599</v>
      </c>
      <c r="H198" s="0" t="n">
        <f aca="false">INDEX(마스터!$E:$E,MATCH(C198,마스터!$A:$A,0))</f>
        <v>4170</v>
      </c>
      <c r="I198" s="0" t="n">
        <f aca="false">IF(OR(E198="개정판교체",E198="파본"),0,D198*H198)</f>
        <v>1743060</v>
      </c>
    </row>
    <row r="199" customFormat="false" ht="15" hidden="false" customHeight="false" outlineLevel="0" collapsed="false">
      <c r="A199" s="0" t="s">
        <v>94</v>
      </c>
      <c r="B199" s="1" t="s">
        <v>17</v>
      </c>
      <c r="C199" s="1" t="s">
        <v>47</v>
      </c>
      <c r="D199" s="0" t="n">
        <v>1749</v>
      </c>
      <c r="E199" s="1" t="s">
        <v>117</v>
      </c>
      <c r="F199" s="0" t="n">
        <f aca="false">SUMIFS(출고!$F$2:$F$1167,출고!$B$2:$B$1167,B199,출고!$C$2:$C$1167,C199)/SUMIFS(출고!$D$2:$D$1167,출고!$B$2:$B$1167,B199,출고!$C$2:$C$1167,C199)</f>
        <v>8386.65559982293</v>
      </c>
      <c r="G199" s="0" t="n">
        <f aca="false">D199*F199</f>
        <v>14668260.6440903</v>
      </c>
      <c r="H199" s="0" t="n">
        <f aca="false">INDEX(마스터!$E:$E,MATCH(C199,마스터!$A:$A,0))</f>
        <v>4170</v>
      </c>
      <c r="I199" s="0" t="n">
        <f aca="false">IF(OR(E199="개정판교체",E199="파본"),0,D199*H199)</f>
        <v>7293330</v>
      </c>
    </row>
    <row r="200" customFormat="false" ht="15" hidden="false" customHeight="false" outlineLevel="0" collapsed="false">
      <c r="A200" s="0" t="s">
        <v>94</v>
      </c>
      <c r="B200" s="1" t="s">
        <v>18</v>
      </c>
      <c r="C200" s="1" t="s">
        <v>45</v>
      </c>
      <c r="D200" s="0" t="n">
        <v>903</v>
      </c>
      <c r="E200" s="1" t="s">
        <v>116</v>
      </c>
      <c r="F200" s="0" t="n">
        <f aca="false">SUMIFS(출고!$F$2:$F$1167,출고!$B$2:$B$1167,B200,출고!$C$2:$C$1167,C200)/SUMIFS(출고!$D$2:$D$1167,출고!$B$2:$B$1167,B200,출고!$C$2:$C$1167,C200)</f>
        <v>13034.3858632677</v>
      </c>
      <c r="G200" s="0" t="n">
        <f aca="false">D200*F200</f>
        <v>11770050.4345307</v>
      </c>
      <c r="H200" s="0" t="n">
        <f aca="false">INDEX(마스터!$E:$E,MATCH(C200,마스터!$A:$A,0))</f>
        <v>6110</v>
      </c>
      <c r="I200" s="0" t="n">
        <f aca="false">IF(OR(E200="개정판교체",E200="파본"),0,D200*H200)</f>
        <v>5517330</v>
      </c>
    </row>
    <row r="201" customFormat="false" ht="15" hidden="false" customHeight="false" outlineLevel="0" collapsed="false">
      <c r="A201" s="0" t="s">
        <v>94</v>
      </c>
      <c r="B201" s="1" t="s">
        <v>18</v>
      </c>
      <c r="C201" s="1" t="s">
        <v>60</v>
      </c>
      <c r="D201" s="0" t="n">
        <v>859</v>
      </c>
      <c r="E201" s="1" t="s">
        <v>119</v>
      </c>
      <c r="F201" s="0" t="n">
        <f aca="false">SUMIFS(출고!$F$2:$F$1167,출고!$B$2:$B$1167,B201,출고!$C$2:$C$1167,C201)/SUMIFS(출고!$D$2:$D$1167,출고!$B$2:$B$1167,B201,출고!$C$2:$C$1167,C201)</f>
        <v>13646.6961038961</v>
      </c>
      <c r="G201" s="0" t="n">
        <f aca="false">D201*F201</f>
        <v>11722511.9532468</v>
      </c>
      <c r="H201" s="0" t="n">
        <f aca="false">INDEX(마스터!$E:$E,MATCH(C201,마스터!$A:$A,0))</f>
        <v>6980</v>
      </c>
      <c r="I201" s="0" t="n">
        <f aca="false">IF(OR(E201="개정판교체",E201="파본"),0,D201*H201)</f>
        <v>5995820</v>
      </c>
    </row>
    <row r="202" customFormat="false" ht="15" hidden="false" customHeight="false" outlineLevel="0" collapsed="false">
      <c r="A202" s="0" t="s">
        <v>94</v>
      </c>
      <c r="B202" s="1" t="s">
        <v>19</v>
      </c>
      <c r="C202" s="1" t="s">
        <v>59</v>
      </c>
      <c r="D202" s="0" t="n">
        <v>915</v>
      </c>
      <c r="E202" s="1" t="s">
        <v>116</v>
      </c>
      <c r="F202" s="0" t="n">
        <f aca="false">SUMIFS(출고!$F$2:$F$1167,출고!$B$2:$B$1167,B202,출고!$C$2:$C$1167,C202)/SUMIFS(출고!$D$2:$D$1167,출고!$B$2:$B$1167,B202,출고!$C$2:$C$1167,C202)</f>
        <v>12957.4602613917</v>
      </c>
      <c r="G202" s="0" t="n">
        <f aca="false">D202*F202</f>
        <v>11856076.1391734</v>
      </c>
      <c r="H202" s="0" t="n">
        <f aca="false">INDEX(마스터!$E:$E,MATCH(C202,마스터!$A:$A,0))</f>
        <v>6520</v>
      </c>
      <c r="I202" s="0" t="n">
        <f aca="false">IF(OR(E202="개정판교체",E202="파본"),0,D202*H202)</f>
        <v>5965800</v>
      </c>
    </row>
    <row r="203" customFormat="false" ht="15" hidden="false" customHeight="false" outlineLevel="0" collapsed="false">
      <c r="A203" s="0" t="s">
        <v>94</v>
      </c>
      <c r="B203" s="1" t="s">
        <v>19</v>
      </c>
      <c r="C203" s="1" t="s">
        <v>34</v>
      </c>
      <c r="D203" s="0" t="n">
        <v>586</v>
      </c>
      <c r="E203" s="1" t="s">
        <v>117</v>
      </c>
      <c r="F203" s="0" t="n">
        <f aca="false">SUMIFS(출고!$F$2:$F$1167,출고!$B$2:$B$1167,B203,출고!$C$2:$C$1167,C203)/SUMIFS(출고!$D$2:$D$1167,출고!$B$2:$B$1167,B203,출고!$C$2:$C$1167,C203)</f>
        <v>11978.75</v>
      </c>
      <c r="G203" s="0" t="n">
        <f aca="false">D203*F203</f>
        <v>7019547.5</v>
      </c>
      <c r="H203" s="0" t="n">
        <f aca="false">INDEX(마스터!$E:$E,MATCH(C203,마스터!$A:$A,0))</f>
        <v>6630</v>
      </c>
      <c r="I203" s="0" t="n">
        <f aca="false">IF(OR(E203="개정판교체",E203="파본"),0,D203*H203)</f>
        <v>3885180</v>
      </c>
    </row>
    <row r="204" customFormat="false" ht="15" hidden="false" customHeight="false" outlineLevel="0" collapsed="false">
      <c r="A204" s="0" t="s">
        <v>94</v>
      </c>
      <c r="B204" s="1" t="s">
        <v>19</v>
      </c>
      <c r="C204" s="1" t="s">
        <v>34</v>
      </c>
      <c r="D204" s="0" t="n">
        <v>460</v>
      </c>
      <c r="E204" s="1" t="s">
        <v>118</v>
      </c>
      <c r="F204" s="0" t="n">
        <f aca="false">SUMIFS(출고!$F$2:$F$1167,출고!$B$2:$B$1167,B204,출고!$C$2:$C$1167,C204)/SUMIFS(출고!$D$2:$D$1167,출고!$B$2:$B$1167,B204,출고!$C$2:$C$1167,C204)</f>
        <v>11978.75</v>
      </c>
      <c r="G204" s="0" t="n">
        <f aca="false">D204*F204</f>
        <v>5510225</v>
      </c>
      <c r="H204" s="0" t="n">
        <f aca="false">INDEX(마스터!$E:$E,MATCH(C204,마스터!$A:$A,0))</f>
        <v>6630</v>
      </c>
      <c r="I204" s="0" t="n">
        <f aca="false">IF(OR(E204="개정판교체",E204="파본"),0,D204*H204)</f>
        <v>0</v>
      </c>
    </row>
    <row r="205" customFormat="false" ht="15" hidden="false" customHeight="false" outlineLevel="0" collapsed="false">
      <c r="A205" s="0" t="s">
        <v>94</v>
      </c>
      <c r="B205" s="1" t="s">
        <v>20</v>
      </c>
      <c r="C205" s="1" t="s">
        <v>47</v>
      </c>
      <c r="D205" s="0" t="n">
        <v>790</v>
      </c>
      <c r="E205" s="1" t="s">
        <v>116</v>
      </c>
      <c r="F205" s="0" t="n">
        <f aca="false">SUMIFS(출고!$F$2:$F$1167,출고!$B$2:$B$1167,B205,출고!$C$2:$C$1167,C205)/SUMIFS(출고!$D$2:$D$1167,출고!$B$2:$B$1167,B205,출고!$C$2:$C$1167,C205)</f>
        <v>9280.94840667678</v>
      </c>
      <c r="G205" s="0" t="n">
        <f aca="false">D205*F205</f>
        <v>7331949.24127466</v>
      </c>
      <c r="H205" s="0" t="n">
        <f aca="false">INDEX(마스터!$E:$E,MATCH(C205,마스터!$A:$A,0))</f>
        <v>4170</v>
      </c>
      <c r="I205" s="0" t="n">
        <f aca="false">IF(OR(E205="개정판교체",E205="파본"),0,D205*H205)</f>
        <v>3294300</v>
      </c>
    </row>
    <row r="206" customFormat="false" ht="15" hidden="false" customHeight="false" outlineLevel="0" collapsed="false">
      <c r="A206" s="0" t="s">
        <v>94</v>
      </c>
      <c r="B206" s="1" t="s">
        <v>21</v>
      </c>
      <c r="C206" s="1" t="s">
        <v>48</v>
      </c>
      <c r="D206" s="0" t="n">
        <v>364</v>
      </c>
      <c r="E206" s="1" t="s">
        <v>116</v>
      </c>
      <c r="F206" s="0" t="n">
        <f aca="false">SUMIFS(출고!$F$2:$F$1167,출고!$B$2:$B$1167,B206,출고!$C$2:$C$1167,C206)/SUMIFS(출고!$D$2:$D$1167,출고!$B$2:$B$1167,B206,출고!$C$2:$C$1167,C206)</f>
        <v>12961.5133779264</v>
      </c>
      <c r="G206" s="0" t="n">
        <f aca="false">D206*F206</f>
        <v>4717990.86956522</v>
      </c>
      <c r="H206" s="0" t="n">
        <f aca="false">INDEX(마스터!$E:$E,MATCH(C206,마스터!$A:$A,0))</f>
        <v>6440</v>
      </c>
      <c r="I206" s="0" t="n">
        <f aca="false">IF(OR(E206="개정판교체",E206="파본"),0,D206*H206)</f>
        <v>2344160</v>
      </c>
    </row>
    <row r="207" customFormat="false" ht="15" hidden="false" customHeight="false" outlineLevel="0" collapsed="false">
      <c r="A207" s="0" t="s">
        <v>94</v>
      </c>
      <c r="B207" s="1" t="s">
        <v>21</v>
      </c>
      <c r="C207" s="1" t="s">
        <v>48</v>
      </c>
      <c r="D207" s="0" t="n">
        <v>310</v>
      </c>
      <c r="E207" s="1" t="s">
        <v>118</v>
      </c>
      <c r="F207" s="0" t="n">
        <f aca="false">SUMIFS(출고!$F$2:$F$1167,출고!$B$2:$B$1167,B207,출고!$C$2:$C$1167,C207)/SUMIFS(출고!$D$2:$D$1167,출고!$B$2:$B$1167,B207,출고!$C$2:$C$1167,C207)</f>
        <v>12961.5133779264</v>
      </c>
      <c r="G207" s="0" t="n">
        <f aca="false">D207*F207</f>
        <v>4018069.14715719</v>
      </c>
      <c r="H207" s="0" t="n">
        <f aca="false">INDEX(마스터!$E:$E,MATCH(C207,마스터!$A:$A,0))</f>
        <v>6440</v>
      </c>
      <c r="I207" s="0" t="n">
        <f aca="false">IF(OR(E207="개정판교체",E207="파본"),0,D207*H207)</f>
        <v>0</v>
      </c>
    </row>
    <row r="208" customFormat="false" ht="15" hidden="false" customHeight="false" outlineLevel="0" collapsed="false">
      <c r="A208" s="0" t="s">
        <v>94</v>
      </c>
      <c r="B208" s="1" t="s">
        <v>22</v>
      </c>
      <c r="C208" s="1" t="s">
        <v>72</v>
      </c>
      <c r="D208" s="0" t="n">
        <v>972</v>
      </c>
      <c r="E208" s="1" t="s">
        <v>116</v>
      </c>
      <c r="F208" s="0" t="n">
        <f aca="false">SUMIFS(출고!$F$2:$F$1167,출고!$B$2:$B$1167,B208,출고!$C$2:$C$1167,C208)/SUMIFS(출고!$D$2:$D$1167,출고!$B$2:$B$1167,B208,출고!$C$2:$C$1167,C208)</f>
        <v>12277.8657014478</v>
      </c>
      <c r="G208" s="0" t="n">
        <f aca="false">D208*F208</f>
        <v>11934085.4618073</v>
      </c>
      <c r="H208" s="0" t="n">
        <f aca="false">INDEX(마스터!$E:$E,MATCH(C208,마스터!$A:$A,0))</f>
        <v>5920</v>
      </c>
      <c r="I208" s="0" t="n">
        <f aca="false">IF(OR(E208="개정판교체",E208="파본"),0,D208*H208)</f>
        <v>5754240</v>
      </c>
    </row>
    <row r="209" customFormat="false" ht="15" hidden="false" customHeight="false" outlineLevel="0" collapsed="false">
      <c r="A209" s="0" t="s">
        <v>94</v>
      </c>
      <c r="B209" s="1" t="s">
        <v>23</v>
      </c>
      <c r="C209" s="1" t="s">
        <v>86</v>
      </c>
      <c r="D209" s="0" t="n">
        <v>1246</v>
      </c>
      <c r="E209" s="1" t="s">
        <v>116</v>
      </c>
      <c r="F209" s="0" t="n">
        <f aca="false">SUMIFS(출고!$F$2:$F$1167,출고!$B$2:$B$1167,B209,출고!$C$2:$C$1167,C209)/SUMIFS(출고!$D$2:$D$1167,출고!$B$2:$B$1167,B209,출고!$C$2:$C$1167,C209)</f>
        <v>12910.0216785382</v>
      </c>
      <c r="G209" s="0" t="n">
        <f aca="false">D209*F209</f>
        <v>16085887.0114587</v>
      </c>
      <c r="H209" s="0" t="n">
        <f aca="false">INDEX(마스터!$E:$E,MATCH(C209,마스터!$A:$A,0))</f>
        <v>6430</v>
      </c>
      <c r="I209" s="0" t="n">
        <f aca="false">IF(OR(E209="개정판교체",E209="파본"),0,D209*H209)</f>
        <v>8011780</v>
      </c>
    </row>
    <row r="210" customFormat="false" ht="15" hidden="false" customHeight="false" outlineLevel="0" collapsed="false">
      <c r="A210" s="0" t="s">
        <v>94</v>
      </c>
      <c r="B210" s="1" t="s">
        <v>25</v>
      </c>
      <c r="C210" s="1" t="s">
        <v>77</v>
      </c>
      <c r="D210" s="0" t="n">
        <v>724</v>
      </c>
      <c r="E210" s="1" t="s">
        <v>116</v>
      </c>
      <c r="F210" s="0" t="n">
        <f aca="false">SUMIFS(출고!$F$2:$F$1167,출고!$B$2:$B$1167,B210,출고!$C$2:$C$1167,C210)/SUMIFS(출고!$D$2:$D$1167,출고!$B$2:$B$1167,B210,출고!$C$2:$C$1167,C210)</f>
        <v>11898.9662576687</v>
      </c>
      <c r="G210" s="0" t="n">
        <f aca="false">D210*F210</f>
        <v>8614851.57055215</v>
      </c>
      <c r="H210" s="0" t="n">
        <f aca="false">INDEX(마스터!$E:$E,MATCH(C210,마스터!$A:$A,0))</f>
        <v>5380</v>
      </c>
      <c r="I210" s="0" t="n">
        <f aca="false">IF(OR(E210="개정판교체",E210="파본"),0,D210*H210)</f>
        <v>3895120</v>
      </c>
    </row>
    <row r="211" customFormat="false" ht="15" hidden="false" customHeight="false" outlineLevel="0" collapsed="false">
      <c r="A211" s="0" t="s">
        <v>94</v>
      </c>
      <c r="B211" s="1" t="s">
        <v>24</v>
      </c>
      <c r="C211" s="1" t="s">
        <v>60</v>
      </c>
      <c r="D211" s="0" t="n">
        <v>742</v>
      </c>
      <c r="E211" s="1" t="s">
        <v>118</v>
      </c>
      <c r="F211" s="0" t="n">
        <f aca="false">SUMIFS(출고!$F$2:$F$1167,출고!$B$2:$B$1167,B211,출고!$C$2:$C$1167,C211)/SUMIFS(출고!$D$2:$D$1167,출고!$B$2:$B$1167,B211,출고!$C$2:$C$1167,C211)</f>
        <v>13665.5523964257</v>
      </c>
      <c r="G211" s="0" t="n">
        <f aca="false">D211*F211</f>
        <v>10139839.8781478</v>
      </c>
      <c r="H211" s="0" t="n">
        <f aca="false">INDEX(마스터!$E:$E,MATCH(C211,마스터!$A:$A,0))</f>
        <v>6980</v>
      </c>
      <c r="I211" s="0" t="n">
        <f aca="false">IF(OR(E211="개정판교체",E211="파본"),0,D211*H211)</f>
        <v>0</v>
      </c>
    </row>
    <row r="212" customFormat="false" ht="15" hidden="false" customHeight="false" outlineLevel="0" collapsed="false">
      <c r="A212" s="0" t="s">
        <v>96</v>
      </c>
      <c r="B212" s="1" t="s">
        <v>14</v>
      </c>
      <c r="C212" s="1" t="s">
        <v>45</v>
      </c>
      <c r="D212" s="0" t="n">
        <v>7306</v>
      </c>
      <c r="E212" s="1" t="s">
        <v>116</v>
      </c>
      <c r="F212" s="0" t="n">
        <f aca="false">SUMIFS(출고!$F$2:$F$1167,출고!$B$2:$B$1167,B212,출고!$C$2:$C$1167,C212)/SUMIFS(출고!$D$2:$D$1167,출고!$B$2:$B$1167,B212,출고!$C$2:$C$1167,C212)</f>
        <v>11925.6097560976</v>
      </c>
      <c r="G212" s="0" t="n">
        <f aca="false">D212*F212</f>
        <v>87128504.8780488</v>
      </c>
      <c r="H212" s="0" t="n">
        <f aca="false">INDEX(마스터!$E:$E,MATCH(C212,마스터!$A:$A,0))</f>
        <v>6110</v>
      </c>
      <c r="I212" s="0" t="n">
        <f aca="false">IF(OR(E212="개정판교체",E212="파본"),0,D212*H212)</f>
        <v>44639660</v>
      </c>
    </row>
    <row r="213" customFormat="false" ht="15" hidden="false" customHeight="false" outlineLevel="0" collapsed="false">
      <c r="A213" s="0" t="s">
        <v>96</v>
      </c>
      <c r="B213" s="1" t="s">
        <v>14</v>
      </c>
      <c r="C213" s="1" t="s">
        <v>38</v>
      </c>
      <c r="D213" s="0" t="n">
        <v>2859</v>
      </c>
      <c r="E213" s="1" t="s">
        <v>116</v>
      </c>
      <c r="F213" s="0" t="n">
        <f aca="false">SUMIFS(출고!$F$2:$F$1167,출고!$B$2:$B$1167,B213,출고!$C$2:$C$1167,C213)/SUMIFS(출고!$D$2:$D$1167,출고!$B$2:$B$1167,B213,출고!$C$2:$C$1167,C213)</f>
        <v>11280.897005988</v>
      </c>
      <c r="G213" s="0" t="n">
        <f aca="false">D213*F213</f>
        <v>32252084.5401198</v>
      </c>
      <c r="H213" s="0" t="n">
        <f aca="false">INDEX(마스터!$E:$E,MATCH(C213,마스터!$A:$A,0))</f>
        <v>5670</v>
      </c>
      <c r="I213" s="0" t="n">
        <f aca="false">IF(OR(E213="개정판교체",E213="파본"),0,D213*H213)</f>
        <v>16210530</v>
      </c>
    </row>
    <row r="214" customFormat="false" ht="15" hidden="false" customHeight="false" outlineLevel="0" collapsed="false">
      <c r="A214" s="0" t="s">
        <v>96</v>
      </c>
      <c r="B214" s="1" t="s">
        <v>14</v>
      </c>
      <c r="C214" s="1" t="s">
        <v>41</v>
      </c>
      <c r="D214" s="0" t="n">
        <v>3023</v>
      </c>
      <c r="E214" s="1" t="s">
        <v>117</v>
      </c>
      <c r="F214" s="0" t="n">
        <f aca="false">SUMIFS(출고!$F$2:$F$1167,출고!$B$2:$B$1167,B214,출고!$C$2:$C$1167,C214)/SUMIFS(출고!$D$2:$D$1167,출고!$B$2:$B$1167,B214,출고!$C$2:$C$1167,C214)</f>
        <v>10967.1647780925</v>
      </c>
      <c r="G214" s="0" t="n">
        <f aca="false">D214*F214</f>
        <v>33153739.1241737</v>
      </c>
      <c r="H214" s="0" t="n">
        <f aca="false">INDEX(마스터!$E:$E,MATCH(C214,마스터!$A:$A,0))</f>
        <v>5480</v>
      </c>
      <c r="I214" s="0" t="n">
        <f aca="false">IF(OR(E214="개정판교체",E214="파본"),0,D214*H214)</f>
        <v>16566040</v>
      </c>
    </row>
    <row r="215" customFormat="false" ht="15" hidden="false" customHeight="false" outlineLevel="0" collapsed="false">
      <c r="A215" s="0" t="s">
        <v>96</v>
      </c>
      <c r="B215" s="1" t="s">
        <v>14</v>
      </c>
      <c r="C215" s="1" t="s">
        <v>34</v>
      </c>
      <c r="D215" s="0" t="n">
        <v>1743</v>
      </c>
      <c r="E215" s="1" t="s">
        <v>117</v>
      </c>
      <c r="F215" s="0" t="n">
        <f aca="false">SUMIFS(출고!$F$2:$F$1167,출고!$B$2:$B$1167,B215,출고!$C$2:$C$1167,C215)/SUMIFS(출고!$D$2:$D$1167,출고!$B$2:$B$1167,B215,출고!$C$2:$C$1167,C215)</f>
        <v>11933.4980673661</v>
      </c>
      <c r="G215" s="0" t="n">
        <f aca="false">D215*F215</f>
        <v>20800087.1314191</v>
      </c>
      <c r="H215" s="0" t="n">
        <f aca="false">INDEX(마스터!$E:$E,MATCH(C215,마스터!$A:$A,0))</f>
        <v>6630</v>
      </c>
      <c r="I215" s="0" t="n">
        <f aca="false">IF(OR(E215="개정판교체",E215="파본"),0,D215*H215)</f>
        <v>11556090</v>
      </c>
    </row>
    <row r="216" customFormat="false" ht="15" hidden="false" customHeight="false" outlineLevel="0" collapsed="false">
      <c r="A216" s="0" t="s">
        <v>96</v>
      </c>
      <c r="B216" s="1" t="s">
        <v>14</v>
      </c>
      <c r="C216" s="1" t="s">
        <v>34</v>
      </c>
      <c r="D216" s="0" t="n">
        <v>1369</v>
      </c>
      <c r="E216" s="1" t="s">
        <v>118</v>
      </c>
      <c r="F216" s="0" t="n">
        <f aca="false">SUMIFS(출고!$F$2:$F$1167,출고!$B$2:$B$1167,B216,출고!$C$2:$C$1167,C216)/SUMIFS(출고!$D$2:$D$1167,출고!$B$2:$B$1167,B216,출고!$C$2:$C$1167,C216)</f>
        <v>11933.4980673661</v>
      </c>
      <c r="G216" s="0" t="n">
        <f aca="false">D216*F216</f>
        <v>16336958.8542242</v>
      </c>
      <c r="H216" s="0" t="n">
        <f aca="false">INDEX(마스터!$E:$E,MATCH(C216,마스터!$A:$A,0))</f>
        <v>6630</v>
      </c>
      <c r="I216" s="0" t="n">
        <f aca="false">IF(OR(E216="개정판교체",E216="파본"),0,D216*H216)</f>
        <v>0</v>
      </c>
    </row>
    <row r="217" customFormat="false" ht="15" hidden="false" customHeight="false" outlineLevel="0" collapsed="false">
      <c r="A217" s="0" t="s">
        <v>96</v>
      </c>
      <c r="B217" s="1" t="s">
        <v>14</v>
      </c>
      <c r="C217" s="1" t="s">
        <v>66</v>
      </c>
      <c r="D217" s="0" t="n">
        <v>3788</v>
      </c>
      <c r="E217" s="1" t="s">
        <v>117</v>
      </c>
      <c r="F217" s="0" t="n">
        <f aca="false">SUMIFS(출고!$F$2:$F$1167,출고!$B$2:$B$1167,B217,출고!$C$2:$C$1167,C217)/SUMIFS(출고!$D$2:$D$1167,출고!$B$2:$B$1167,B217,출고!$C$2:$C$1167,C217)</f>
        <v>11929.8916024553</v>
      </c>
      <c r="G217" s="0" t="n">
        <f aca="false">D217*F217</f>
        <v>45190429.3901006</v>
      </c>
      <c r="H217" s="0" t="n">
        <f aca="false">INDEX(마스터!$E:$E,MATCH(C217,마스터!$A:$A,0))</f>
        <v>6360</v>
      </c>
      <c r="I217" s="0" t="n">
        <f aca="false">IF(OR(E217="개정판교체",E217="파본"),0,D217*H217)</f>
        <v>24091680</v>
      </c>
    </row>
    <row r="218" customFormat="false" ht="15" hidden="false" customHeight="false" outlineLevel="0" collapsed="false">
      <c r="A218" s="0" t="s">
        <v>96</v>
      </c>
      <c r="B218" s="1" t="s">
        <v>14</v>
      </c>
      <c r="C218" s="1" t="s">
        <v>47</v>
      </c>
      <c r="D218" s="0" t="n">
        <v>5124</v>
      </c>
      <c r="E218" s="1" t="s">
        <v>120</v>
      </c>
      <c r="F218" s="0" t="n">
        <f aca="false">SUMIFS(출고!$F$2:$F$1167,출고!$B$2:$B$1167,B218,출고!$C$2:$C$1167,C218)/SUMIFS(출고!$D$2:$D$1167,출고!$B$2:$B$1167,B218,출고!$C$2:$C$1167,C218)</f>
        <v>8382.27260602828</v>
      </c>
      <c r="G218" s="0" t="n">
        <f aca="false">D218*F218</f>
        <v>42950764.8332889</v>
      </c>
      <c r="H218" s="0" t="n">
        <f aca="false">INDEX(마스터!$E:$E,MATCH(C218,마스터!$A:$A,0))</f>
        <v>4170</v>
      </c>
      <c r="I218" s="0" t="n">
        <f aca="false">IF(OR(E218="개정판교체",E218="파본"),0,D218*H218)</f>
        <v>0</v>
      </c>
    </row>
    <row r="219" customFormat="false" ht="15" hidden="false" customHeight="false" outlineLevel="0" collapsed="false">
      <c r="A219" s="0" t="s">
        <v>96</v>
      </c>
      <c r="B219" s="1" t="s">
        <v>14</v>
      </c>
      <c r="C219" s="1" t="s">
        <v>47</v>
      </c>
      <c r="D219" s="0" t="n">
        <v>904</v>
      </c>
      <c r="E219" s="1" t="s">
        <v>116</v>
      </c>
      <c r="F219" s="0" t="n">
        <f aca="false">SUMIFS(출고!$F$2:$F$1167,출고!$B$2:$B$1167,B219,출고!$C$2:$C$1167,C219)/SUMIFS(출고!$D$2:$D$1167,출고!$B$2:$B$1167,B219,출고!$C$2:$C$1167,C219)</f>
        <v>8382.27260602828</v>
      </c>
      <c r="G219" s="0" t="n">
        <f aca="false">D219*F219</f>
        <v>7577574.43584956</v>
      </c>
      <c r="H219" s="0" t="n">
        <f aca="false">INDEX(마스터!$E:$E,MATCH(C219,마스터!$A:$A,0))</f>
        <v>4170</v>
      </c>
      <c r="I219" s="0" t="n">
        <f aca="false">IF(OR(E219="개정판교체",E219="파본"),0,D219*H219)</f>
        <v>3769680</v>
      </c>
    </row>
    <row r="220" customFormat="false" ht="15" hidden="false" customHeight="false" outlineLevel="0" collapsed="false">
      <c r="A220" s="0" t="s">
        <v>96</v>
      </c>
      <c r="B220" s="1" t="s">
        <v>15</v>
      </c>
      <c r="C220" s="1" t="s">
        <v>38</v>
      </c>
      <c r="D220" s="0" t="n">
        <v>1191</v>
      </c>
      <c r="E220" s="1" t="s">
        <v>118</v>
      </c>
      <c r="F220" s="0" t="n">
        <f aca="false">SUMIFS(출고!$F$2:$F$1167,출고!$B$2:$B$1167,B220,출고!$C$2:$C$1167,C220)/SUMIFS(출고!$D$2:$D$1167,출고!$B$2:$B$1167,B220,출고!$C$2:$C$1167,C220)</f>
        <v>11377.4589032501</v>
      </c>
      <c r="G220" s="0" t="n">
        <f aca="false">D220*F220</f>
        <v>13550553.5537709</v>
      </c>
      <c r="H220" s="0" t="n">
        <f aca="false">INDEX(마스터!$E:$E,MATCH(C220,마스터!$A:$A,0))</f>
        <v>5670</v>
      </c>
      <c r="I220" s="0" t="n">
        <f aca="false">IF(OR(E220="개정판교체",E220="파본"),0,D220*H220)</f>
        <v>0</v>
      </c>
    </row>
    <row r="221" customFormat="false" ht="15" hidden="false" customHeight="false" outlineLevel="0" collapsed="false">
      <c r="A221" s="0" t="s">
        <v>96</v>
      </c>
      <c r="B221" s="1" t="s">
        <v>15</v>
      </c>
      <c r="C221" s="1" t="s">
        <v>66</v>
      </c>
      <c r="D221" s="0" t="n">
        <v>2570</v>
      </c>
      <c r="E221" s="1" t="s">
        <v>116</v>
      </c>
      <c r="F221" s="0" t="n">
        <f aca="false">SUMIFS(출고!$F$2:$F$1167,출고!$B$2:$B$1167,B221,출고!$C$2:$C$1167,C221)/SUMIFS(출고!$D$2:$D$1167,출고!$B$2:$B$1167,B221,출고!$C$2:$C$1167,C221)</f>
        <v>12030.3590777372</v>
      </c>
      <c r="G221" s="0" t="n">
        <f aca="false">D221*F221</f>
        <v>30918022.8297846</v>
      </c>
      <c r="H221" s="0" t="n">
        <f aca="false">INDEX(마스터!$E:$E,MATCH(C221,마스터!$A:$A,0))</f>
        <v>6360</v>
      </c>
      <c r="I221" s="0" t="n">
        <f aca="false">IF(OR(E221="개정판교체",E221="파본"),0,D221*H221)</f>
        <v>16345200</v>
      </c>
    </row>
    <row r="222" customFormat="false" ht="15" hidden="false" customHeight="false" outlineLevel="0" collapsed="false">
      <c r="A222" s="0" t="s">
        <v>96</v>
      </c>
      <c r="B222" s="1" t="s">
        <v>15</v>
      </c>
      <c r="C222" s="1" t="s">
        <v>47</v>
      </c>
      <c r="D222" s="0" t="n">
        <v>3333</v>
      </c>
      <c r="E222" s="1" t="s">
        <v>120</v>
      </c>
      <c r="F222" s="0" t="n">
        <f aca="false">SUMIFS(출고!$F$2:$F$1167,출고!$B$2:$B$1167,B222,출고!$C$2:$C$1167,C222)/SUMIFS(출고!$D$2:$D$1167,출고!$B$2:$B$1167,B222,출고!$C$2:$C$1167,C222)</f>
        <v>8455.46315291147</v>
      </c>
      <c r="G222" s="0" t="n">
        <f aca="false">D222*F222</f>
        <v>28182058.6886539</v>
      </c>
      <c r="H222" s="0" t="n">
        <f aca="false">INDEX(마스터!$E:$E,MATCH(C222,마스터!$A:$A,0))</f>
        <v>4170</v>
      </c>
      <c r="I222" s="0" t="n">
        <f aca="false">IF(OR(E222="개정판교체",E222="파본"),0,D222*H222)</f>
        <v>0</v>
      </c>
    </row>
    <row r="223" customFormat="false" ht="15" hidden="false" customHeight="false" outlineLevel="0" collapsed="false">
      <c r="A223" s="0" t="s">
        <v>96</v>
      </c>
      <c r="B223" s="1" t="s">
        <v>15</v>
      </c>
      <c r="C223" s="1" t="s">
        <v>47</v>
      </c>
      <c r="D223" s="0" t="n">
        <v>588</v>
      </c>
      <c r="E223" s="1" t="s">
        <v>116</v>
      </c>
      <c r="F223" s="0" t="n">
        <f aca="false">SUMIFS(출고!$F$2:$F$1167,출고!$B$2:$B$1167,B223,출고!$C$2:$C$1167,C223)/SUMIFS(출고!$D$2:$D$1167,출고!$B$2:$B$1167,B223,출고!$C$2:$C$1167,C223)</f>
        <v>8455.46315291147</v>
      </c>
      <c r="G223" s="0" t="n">
        <f aca="false">D223*F223</f>
        <v>4971812.33391195</v>
      </c>
      <c r="H223" s="0" t="n">
        <f aca="false">INDEX(마스터!$E:$E,MATCH(C223,마스터!$A:$A,0))</f>
        <v>4170</v>
      </c>
      <c r="I223" s="0" t="n">
        <f aca="false">IF(OR(E223="개정판교체",E223="파본"),0,D223*H223)</f>
        <v>2451960</v>
      </c>
    </row>
    <row r="224" customFormat="false" ht="15" hidden="false" customHeight="false" outlineLevel="0" collapsed="false">
      <c r="A224" s="0" t="s">
        <v>96</v>
      </c>
      <c r="B224" s="1" t="s">
        <v>16</v>
      </c>
      <c r="C224" s="1" t="s">
        <v>60</v>
      </c>
      <c r="D224" s="0" t="n">
        <v>629</v>
      </c>
      <c r="E224" s="1" t="s">
        <v>116</v>
      </c>
      <c r="F224" s="0" t="n">
        <f aca="false">SUMIFS(출고!$F$2:$F$1167,출고!$B$2:$B$1167,B224,출고!$C$2:$C$1167,C224)/SUMIFS(출고!$D$2:$D$1167,출고!$B$2:$B$1167,B224,출고!$C$2:$C$1167,C224)</f>
        <v>13678.7338910242</v>
      </c>
      <c r="G224" s="0" t="n">
        <f aca="false">D224*F224</f>
        <v>8603923.61745422</v>
      </c>
      <c r="H224" s="0" t="n">
        <f aca="false">INDEX(마스터!$E:$E,MATCH(C224,마스터!$A:$A,0))</f>
        <v>6980</v>
      </c>
      <c r="I224" s="0" t="n">
        <f aca="false">IF(OR(E224="개정판교체",E224="파본"),0,D224*H224)</f>
        <v>4390420</v>
      </c>
    </row>
    <row r="225" customFormat="false" ht="15" hidden="false" customHeight="false" outlineLevel="0" collapsed="false">
      <c r="A225" s="0" t="s">
        <v>96</v>
      </c>
      <c r="B225" s="1" t="s">
        <v>16</v>
      </c>
      <c r="C225" s="1" t="s">
        <v>47</v>
      </c>
      <c r="D225" s="0" t="n">
        <v>1369</v>
      </c>
      <c r="E225" s="1" t="s">
        <v>120</v>
      </c>
      <c r="F225" s="0" t="n">
        <f aca="false">SUMIFS(출고!$F$2:$F$1167,출고!$B$2:$B$1167,B225,출고!$C$2:$C$1167,C225)/SUMIFS(출고!$D$2:$D$1167,출고!$B$2:$B$1167,B225,출고!$C$2:$C$1167,C225)</f>
        <v>9173.21741081445</v>
      </c>
      <c r="G225" s="0" t="n">
        <f aca="false">D225*F225</f>
        <v>12558134.635405</v>
      </c>
      <c r="H225" s="0" t="n">
        <f aca="false">INDEX(마스터!$E:$E,MATCH(C225,마스터!$A:$A,0))</f>
        <v>4170</v>
      </c>
      <c r="I225" s="0" t="n">
        <f aca="false">IF(OR(E225="개정판교체",E225="파본"),0,D225*H225)</f>
        <v>0</v>
      </c>
    </row>
    <row r="226" customFormat="false" ht="15" hidden="false" customHeight="false" outlineLevel="0" collapsed="false">
      <c r="A226" s="0" t="s">
        <v>96</v>
      </c>
      <c r="B226" s="1" t="s">
        <v>16</v>
      </c>
      <c r="C226" s="1" t="s">
        <v>47</v>
      </c>
      <c r="D226" s="0" t="n">
        <v>816</v>
      </c>
      <c r="E226" s="1" t="s">
        <v>116</v>
      </c>
      <c r="F226" s="0" t="n">
        <f aca="false">SUMIFS(출고!$F$2:$F$1167,출고!$B$2:$B$1167,B226,출고!$C$2:$C$1167,C226)/SUMIFS(출고!$D$2:$D$1167,출고!$B$2:$B$1167,B226,출고!$C$2:$C$1167,C226)</f>
        <v>9173.21741081445</v>
      </c>
      <c r="G226" s="0" t="n">
        <f aca="false">D226*F226</f>
        <v>7485345.40722459</v>
      </c>
      <c r="H226" s="0" t="n">
        <f aca="false">INDEX(마스터!$E:$E,MATCH(C226,마스터!$A:$A,0))</f>
        <v>4170</v>
      </c>
      <c r="I226" s="0" t="n">
        <f aca="false">IF(OR(E226="개정판교체",E226="파본"),0,D226*H226)</f>
        <v>3402720</v>
      </c>
    </row>
    <row r="227" customFormat="false" ht="15" hidden="false" customHeight="false" outlineLevel="0" collapsed="false">
      <c r="A227" s="0" t="s">
        <v>96</v>
      </c>
      <c r="B227" s="1" t="s">
        <v>17</v>
      </c>
      <c r="C227" s="1" t="s">
        <v>38</v>
      </c>
      <c r="D227" s="0" t="n">
        <v>1113</v>
      </c>
      <c r="E227" s="1" t="s">
        <v>116</v>
      </c>
      <c r="F227" s="0" t="n">
        <f aca="false">SUMIFS(출고!$F$2:$F$1167,출고!$B$2:$B$1167,B227,출고!$C$2:$C$1167,C227)/SUMIFS(출고!$D$2:$D$1167,출고!$B$2:$B$1167,B227,출고!$C$2:$C$1167,C227)</f>
        <v>11290.7279191617</v>
      </c>
      <c r="G227" s="0" t="n">
        <f aca="false">D227*F227</f>
        <v>12566580.1740269</v>
      </c>
      <c r="H227" s="0" t="n">
        <f aca="false">INDEX(마스터!$E:$E,MATCH(C227,마스터!$A:$A,0))</f>
        <v>5670</v>
      </c>
      <c r="I227" s="0" t="n">
        <f aca="false">IF(OR(E227="개정판교체",E227="파본"),0,D227*H227)</f>
        <v>6310710</v>
      </c>
    </row>
    <row r="228" customFormat="false" ht="15" hidden="false" customHeight="false" outlineLevel="0" collapsed="false">
      <c r="A228" s="0" t="s">
        <v>96</v>
      </c>
      <c r="B228" s="1" t="s">
        <v>17</v>
      </c>
      <c r="C228" s="1" t="s">
        <v>63</v>
      </c>
      <c r="D228" s="0" t="n">
        <v>1063</v>
      </c>
      <c r="E228" s="1" t="s">
        <v>119</v>
      </c>
      <c r="F228" s="0" t="n">
        <f aca="false">SUMIFS(출고!$F$2:$F$1167,출고!$B$2:$B$1167,B228,출고!$C$2:$C$1167,C228)/SUMIFS(출고!$D$2:$D$1167,출고!$B$2:$B$1167,B228,출고!$C$2:$C$1167,C228)</f>
        <v>10642.9993618379</v>
      </c>
      <c r="G228" s="0" t="n">
        <f aca="false">D228*F228</f>
        <v>11313508.3216337</v>
      </c>
      <c r="H228" s="0" t="n">
        <f aca="false">INDEX(마스터!$E:$E,MATCH(C228,마스터!$A:$A,0))</f>
        <v>5290</v>
      </c>
      <c r="I228" s="0" t="n">
        <f aca="false">IF(OR(E228="개정판교체",E228="파본"),0,D228*H228)</f>
        <v>5623270</v>
      </c>
    </row>
    <row r="229" customFormat="false" ht="15" hidden="false" customHeight="false" outlineLevel="0" collapsed="false">
      <c r="A229" s="0" t="s">
        <v>96</v>
      </c>
      <c r="B229" s="1" t="s">
        <v>17</v>
      </c>
      <c r="C229" s="1" t="s">
        <v>46</v>
      </c>
      <c r="D229" s="0" t="n">
        <v>1102</v>
      </c>
      <c r="E229" s="1" t="s">
        <v>117</v>
      </c>
      <c r="F229" s="0" t="n">
        <f aca="false">SUMIFS(출고!$F$2:$F$1167,출고!$B$2:$B$1167,B229,출고!$C$2:$C$1167,C229)/SUMIFS(출고!$D$2:$D$1167,출고!$B$2:$B$1167,B229,출고!$C$2:$C$1167,C229)</f>
        <v>13223.0326633166</v>
      </c>
      <c r="G229" s="0" t="n">
        <f aca="false">D229*F229</f>
        <v>14571781.9949749</v>
      </c>
      <c r="H229" s="0" t="n">
        <f aca="false">INDEX(마스터!$E:$E,MATCH(C229,마스터!$A:$A,0))</f>
        <v>6910</v>
      </c>
      <c r="I229" s="0" t="n">
        <f aca="false">IF(OR(E229="개정판교체",E229="파본"),0,D229*H229)</f>
        <v>7614820</v>
      </c>
    </row>
    <row r="230" customFormat="false" ht="15" hidden="false" customHeight="false" outlineLevel="0" collapsed="false">
      <c r="A230" s="0" t="s">
        <v>96</v>
      </c>
      <c r="B230" s="1" t="s">
        <v>17</v>
      </c>
      <c r="C230" s="1" t="s">
        <v>47</v>
      </c>
      <c r="D230" s="0" t="n">
        <v>2073</v>
      </c>
      <c r="E230" s="1" t="s">
        <v>120</v>
      </c>
      <c r="F230" s="0" t="n">
        <f aca="false">SUMIFS(출고!$F$2:$F$1167,출고!$B$2:$B$1167,B230,출고!$C$2:$C$1167,C230)/SUMIFS(출고!$D$2:$D$1167,출고!$B$2:$B$1167,B230,출고!$C$2:$C$1167,C230)</f>
        <v>8386.65559982293</v>
      </c>
      <c r="G230" s="0" t="n">
        <f aca="false">D230*F230</f>
        <v>17385537.0584329</v>
      </c>
      <c r="H230" s="0" t="n">
        <f aca="false">INDEX(마스터!$E:$E,MATCH(C230,마스터!$A:$A,0))</f>
        <v>4170</v>
      </c>
      <c r="I230" s="0" t="n">
        <f aca="false">IF(OR(E230="개정판교체",E230="파본"),0,D230*H230)</f>
        <v>0</v>
      </c>
    </row>
    <row r="231" customFormat="false" ht="15" hidden="false" customHeight="false" outlineLevel="0" collapsed="false">
      <c r="A231" s="0" t="s">
        <v>96</v>
      </c>
      <c r="B231" s="1" t="s">
        <v>17</v>
      </c>
      <c r="C231" s="1" t="s">
        <v>47</v>
      </c>
      <c r="D231" s="0" t="n">
        <v>366</v>
      </c>
      <c r="E231" s="1" t="s">
        <v>116</v>
      </c>
      <c r="F231" s="0" t="n">
        <f aca="false">SUMIFS(출고!$F$2:$F$1167,출고!$B$2:$B$1167,B231,출고!$C$2:$C$1167,C231)/SUMIFS(출고!$D$2:$D$1167,출고!$B$2:$B$1167,B231,출고!$C$2:$C$1167,C231)</f>
        <v>8386.65559982293</v>
      </c>
      <c r="G231" s="0" t="n">
        <f aca="false">D231*F231</f>
        <v>3069515.94953519</v>
      </c>
      <c r="H231" s="0" t="n">
        <f aca="false">INDEX(마스터!$E:$E,MATCH(C231,마스터!$A:$A,0))</f>
        <v>4170</v>
      </c>
      <c r="I231" s="0" t="n">
        <f aca="false">IF(OR(E231="개정판교체",E231="파본"),0,D231*H231)</f>
        <v>1526220</v>
      </c>
    </row>
    <row r="232" customFormat="false" ht="15" hidden="false" customHeight="false" outlineLevel="0" collapsed="false">
      <c r="A232" s="0" t="s">
        <v>96</v>
      </c>
      <c r="B232" s="1" t="s">
        <v>18</v>
      </c>
      <c r="C232" s="1" t="s">
        <v>45</v>
      </c>
      <c r="D232" s="0" t="n">
        <v>692</v>
      </c>
      <c r="E232" s="1" t="s">
        <v>116</v>
      </c>
      <c r="F232" s="0" t="n">
        <f aca="false">SUMIFS(출고!$F$2:$F$1167,출고!$B$2:$B$1167,B232,출고!$C$2:$C$1167,C232)/SUMIFS(출고!$D$2:$D$1167,출고!$B$2:$B$1167,B232,출고!$C$2:$C$1167,C232)</f>
        <v>13034.3858632677</v>
      </c>
      <c r="G232" s="0" t="n">
        <f aca="false">D232*F232</f>
        <v>9019795.01738123</v>
      </c>
      <c r="H232" s="0" t="n">
        <f aca="false">INDEX(마스터!$E:$E,MATCH(C232,마스터!$A:$A,0))</f>
        <v>6110</v>
      </c>
      <c r="I232" s="0" t="n">
        <f aca="false">IF(OR(E232="개정판교체",E232="파본"),0,D232*H232)</f>
        <v>4228120</v>
      </c>
    </row>
    <row r="233" customFormat="false" ht="15" hidden="false" customHeight="false" outlineLevel="0" collapsed="false">
      <c r="A233" s="0" t="s">
        <v>96</v>
      </c>
      <c r="B233" s="1" t="s">
        <v>18</v>
      </c>
      <c r="C233" s="1" t="s">
        <v>60</v>
      </c>
      <c r="D233" s="0" t="n">
        <v>659</v>
      </c>
      <c r="E233" s="1" t="s">
        <v>116</v>
      </c>
      <c r="F233" s="0" t="n">
        <f aca="false">SUMIFS(출고!$F$2:$F$1167,출고!$B$2:$B$1167,B233,출고!$C$2:$C$1167,C233)/SUMIFS(출고!$D$2:$D$1167,출고!$B$2:$B$1167,B233,출고!$C$2:$C$1167,C233)</f>
        <v>13646.6961038961</v>
      </c>
      <c r="G233" s="0" t="n">
        <f aca="false">D233*F233</f>
        <v>8993172.73246753</v>
      </c>
      <c r="H233" s="0" t="n">
        <f aca="false">INDEX(마스터!$E:$E,MATCH(C233,마스터!$A:$A,0))</f>
        <v>6980</v>
      </c>
      <c r="I233" s="0" t="n">
        <f aca="false">IF(OR(E233="개정판교체",E233="파본"),0,D233*H233)</f>
        <v>4599820</v>
      </c>
    </row>
    <row r="234" customFormat="false" ht="15" hidden="false" customHeight="false" outlineLevel="0" collapsed="false">
      <c r="A234" s="0" t="s">
        <v>96</v>
      </c>
      <c r="B234" s="1" t="s">
        <v>19</v>
      </c>
      <c r="C234" s="1" t="s">
        <v>34</v>
      </c>
      <c r="D234" s="0" t="n">
        <v>900</v>
      </c>
      <c r="E234" s="1" t="s">
        <v>117</v>
      </c>
      <c r="F234" s="0" t="n">
        <f aca="false">SUMIFS(출고!$F$2:$F$1167,출고!$B$2:$B$1167,B234,출고!$C$2:$C$1167,C234)/SUMIFS(출고!$D$2:$D$1167,출고!$B$2:$B$1167,B234,출고!$C$2:$C$1167,C234)</f>
        <v>11978.75</v>
      </c>
      <c r="G234" s="0" t="n">
        <f aca="false">D234*F234</f>
        <v>10780875</v>
      </c>
      <c r="H234" s="0" t="n">
        <f aca="false">INDEX(마스터!$E:$E,MATCH(C234,마스터!$A:$A,0))</f>
        <v>6630</v>
      </c>
      <c r="I234" s="0" t="n">
        <f aca="false">IF(OR(E234="개정판교체",E234="파본"),0,D234*H234)</f>
        <v>5967000</v>
      </c>
    </row>
    <row r="235" customFormat="false" ht="15" hidden="false" customHeight="false" outlineLevel="0" collapsed="false">
      <c r="A235" s="0" t="s">
        <v>96</v>
      </c>
      <c r="B235" s="1" t="s">
        <v>19</v>
      </c>
      <c r="C235" s="1" t="s">
        <v>34</v>
      </c>
      <c r="D235" s="0" t="n">
        <v>708</v>
      </c>
      <c r="E235" s="1" t="s">
        <v>118</v>
      </c>
      <c r="F235" s="0" t="n">
        <f aca="false">SUMIFS(출고!$F$2:$F$1167,출고!$B$2:$B$1167,B235,출고!$C$2:$C$1167,C235)/SUMIFS(출고!$D$2:$D$1167,출고!$B$2:$B$1167,B235,출고!$C$2:$C$1167,C235)</f>
        <v>11978.75</v>
      </c>
      <c r="G235" s="0" t="n">
        <f aca="false">D235*F235</f>
        <v>8480955</v>
      </c>
      <c r="H235" s="0" t="n">
        <f aca="false">INDEX(마스터!$E:$E,MATCH(C235,마스터!$A:$A,0))</f>
        <v>6630</v>
      </c>
      <c r="I235" s="0" t="n">
        <f aca="false">IF(OR(E235="개정판교체",E235="파본"),0,D235*H235)</f>
        <v>0</v>
      </c>
    </row>
    <row r="236" customFormat="false" ht="15" hidden="false" customHeight="false" outlineLevel="0" collapsed="false">
      <c r="A236" s="0" t="s">
        <v>96</v>
      </c>
      <c r="B236" s="1" t="s">
        <v>20</v>
      </c>
      <c r="C236" s="1" t="s">
        <v>61</v>
      </c>
      <c r="D236" s="0" t="n">
        <v>458</v>
      </c>
      <c r="E236" s="1" t="s">
        <v>116</v>
      </c>
      <c r="F236" s="0" t="n">
        <f aca="false">SUMIFS(출고!$F$2:$F$1167,출고!$B$2:$B$1167,B236,출고!$C$2:$C$1167,C236)/SUMIFS(출고!$D$2:$D$1167,출고!$B$2:$B$1167,B236,출고!$C$2:$C$1167,C236)</f>
        <v>10999.1441219872</v>
      </c>
      <c r="G236" s="0" t="n">
        <f aca="false">D236*F236</f>
        <v>5037608.00787014</v>
      </c>
      <c r="H236" s="0" t="n">
        <f aca="false">INDEX(마스터!$E:$E,MATCH(C236,마스터!$A:$A,0))</f>
        <v>5390</v>
      </c>
      <c r="I236" s="0" t="n">
        <f aca="false">IF(OR(E236="개정판교체",E236="파본"),0,D236*H236)</f>
        <v>2468620</v>
      </c>
    </row>
    <row r="237" customFormat="false" ht="15" hidden="false" customHeight="false" outlineLevel="0" collapsed="false">
      <c r="A237" s="0" t="s">
        <v>96</v>
      </c>
      <c r="B237" s="1" t="s">
        <v>20</v>
      </c>
      <c r="C237" s="1" t="s">
        <v>55</v>
      </c>
      <c r="D237" s="0" t="n">
        <v>389</v>
      </c>
      <c r="E237" s="1" t="s">
        <v>117</v>
      </c>
      <c r="F237" s="0" t="n">
        <f aca="false">SUMIFS(출고!$F$2:$F$1167,출고!$B$2:$B$1167,B237,출고!$C$2:$C$1167,C237)/SUMIFS(출고!$D$2:$D$1167,출고!$B$2:$B$1167,B237,출고!$C$2:$C$1167,C237)</f>
        <v>13083.9090511587</v>
      </c>
      <c r="G237" s="0" t="n">
        <f aca="false">D237*F237</f>
        <v>5089640.62090074</v>
      </c>
      <c r="H237" s="0" t="n">
        <f aca="false">INDEX(마스터!$E:$E,MATCH(C237,마스터!$A:$A,0))</f>
        <v>6040</v>
      </c>
      <c r="I237" s="0" t="n">
        <f aca="false">IF(OR(E237="개정판교체",E237="파본"),0,D237*H237)</f>
        <v>2349560</v>
      </c>
    </row>
    <row r="238" customFormat="false" ht="15" hidden="false" customHeight="false" outlineLevel="0" collapsed="false">
      <c r="A238" s="0" t="s">
        <v>96</v>
      </c>
      <c r="B238" s="1" t="s">
        <v>20</v>
      </c>
      <c r="C238" s="1" t="s">
        <v>55</v>
      </c>
      <c r="D238" s="0" t="n">
        <v>210</v>
      </c>
      <c r="E238" s="1" t="s">
        <v>118</v>
      </c>
      <c r="F238" s="0" t="n">
        <f aca="false">SUMIFS(출고!$F$2:$F$1167,출고!$B$2:$B$1167,B238,출고!$C$2:$C$1167,C238)/SUMIFS(출고!$D$2:$D$1167,출고!$B$2:$B$1167,B238,출고!$C$2:$C$1167,C238)</f>
        <v>13083.9090511587</v>
      </c>
      <c r="G238" s="0" t="n">
        <f aca="false">D238*F238</f>
        <v>2747620.90074333</v>
      </c>
      <c r="H238" s="0" t="n">
        <f aca="false">INDEX(마스터!$E:$E,MATCH(C238,마스터!$A:$A,0))</f>
        <v>6040</v>
      </c>
      <c r="I238" s="0" t="n">
        <f aca="false">IF(OR(E238="개정판교체",E238="파본"),0,D238*H238)</f>
        <v>0</v>
      </c>
    </row>
    <row r="239" customFormat="false" ht="15" hidden="false" customHeight="false" outlineLevel="0" collapsed="false">
      <c r="A239" s="0" t="s">
        <v>96</v>
      </c>
      <c r="B239" s="1" t="s">
        <v>21</v>
      </c>
      <c r="C239" s="1" t="s">
        <v>45</v>
      </c>
      <c r="D239" s="0" t="n">
        <v>719</v>
      </c>
      <c r="E239" s="1" t="s">
        <v>116</v>
      </c>
      <c r="F239" s="0" t="n">
        <f aca="false">SUMIFS(출고!$F$2:$F$1167,출고!$B$2:$B$1167,B239,출고!$C$2:$C$1167,C239)/SUMIFS(출고!$D$2:$D$1167,출고!$B$2:$B$1167,B239,출고!$C$2:$C$1167,C239)</f>
        <v>12958.6155778894</v>
      </c>
      <c r="G239" s="0" t="n">
        <f aca="false">D239*F239</f>
        <v>9317244.60050251</v>
      </c>
      <c r="H239" s="0" t="n">
        <f aca="false">INDEX(마스터!$E:$E,MATCH(C239,마스터!$A:$A,0))</f>
        <v>6110</v>
      </c>
      <c r="I239" s="0" t="n">
        <f aca="false">IF(OR(E239="개정판교체",E239="파본"),0,D239*H239)</f>
        <v>4393090</v>
      </c>
    </row>
    <row r="240" customFormat="false" ht="15" hidden="false" customHeight="false" outlineLevel="0" collapsed="false">
      <c r="A240" s="0" t="s">
        <v>96</v>
      </c>
      <c r="B240" s="1" t="s">
        <v>21</v>
      </c>
      <c r="C240" s="1" t="s">
        <v>72</v>
      </c>
      <c r="D240" s="0" t="n">
        <v>1070</v>
      </c>
      <c r="E240" s="1" t="s">
        <v>117</v>
      </c>
      <c r="F240" s="0" t="n">
        <f aca="false">SUMIFS(출고!$F$2:$F$1167,출고!$B$2:$B$1167,B240,출고!$C$2:$C$1167,C240)/SUMIFS(출고!$D$2:$D$1167,출고!$B$2:$B$1167,B240,출고!$C$2:$C$1167,C240)</f>
        <v>12263.2052376886</v>
      </c>
      <c r="G240" s="0" t="n">
        <f aca="false">D240*F240</f>
        <v>13121629.6043268</v>
      </c>
      <c r="H240" s="0" t="n">
        <f aca="false">INDEX(마스터!$E:$E,MATCH(C240,마스터!$A:$A,0))</f>
        <v>5920</v>
      </c>
      <c r="I240" s="0" t="n">
        <f aca="false">IF(OR(E240="개정판교체",E240="파본"),0,D240*H240)</f>
        <v>6334400</v>
      </c>
    </row>
    <row r="241" customFormat="false" ht="15" hidden="false" customHeight="false" outlineLevel="0" collapsed="false">
      <c r="A241" s="0" t="s">
        <v>96</v>
      </c>
      <c r="B241" s="1" t="s">
        <v>22</v>
      </c>
      <c r="C241" s="1" t="s">
        <v>36</v>
      </c>
      <c r="D241" s="0" t="n">
        <v>754</v>
      </c>
      <c r="E241" s="1" t="s">
        <v>117</v>
      </c>
      <c r="F241" s="0" t="n">
        <f aca="false">SUMIFS(출고!$F$2:$F$1167,출고!$B$2:$B$1167,B241,출고!$C$2:$C$1167,C241)/SUMIFS(출고!$D$2:$D$1167,출고!$B$2:$B$1167,B241,출고!$C$2:$C$1167,C241)</f>
        <v>10184.7796474359</v>
      </c>
      <c r="G241" s="0" t="n">
        <f aca="false">D241*F241</f>
        <v>7679323.85416667</v>
      </c>
      <c r="H241" s="0" t="n">
        <f aca="false">INDEX(마스터!$E:$E,MATCH(C241,마스터!$A:$A,0))</f>
        <v>4540</v>
      </c>
      <c r="I241" s="0" t="n">
        <f aca="false">IF(OR(E241="개정판교체",E241="파본"),0,D241*H241)</f>
        <v>3423160</v>
      </c>
    </row>
    <row r="242" customFormat="false" ht="15" hidden="false" customHeight="false" outlineLevel="0" collapsed="false">
      <c r="A242" s="0" t="s">
        <v>96</v>
      </c>
      <c r="B242" s="1" t="s">
        <v>23</v>
      </c>
      <c r="C242" s="1" t="s">
        <v>86</v>
      </c>
      <c r="D242" s="0" t="n">
        <v>831</v>
      </c>
      <c r="E242" s="1" t="s">
        <v>117</v>
      </c>
      <c r="F242" s="0" t="n">
        <f aca="false">SUMIFS(출고!$F$2:$F$1167,출고!$B$2:$B$1167,B242,출고!$C$2:$C$1167,C242)/SUMIFS(출고!$D$2:$D$1167,출고!$B$2:$B$1167,B242,출고!$C$2:$C$1167,C242)</f>
        <v>12910.0216785382</v>
      </c>
      <c r="G242" s="0" t="n">
        <f aca="false">D242*F242</f>
        <v>10728228.0148653</v>
      </c>
      <c r="H242" s="0" t="n">
        <f aca="false">INDEX(마스터!$E:$E,MATCH(C242,마스터!$A:$A,0))</f>
        <v>6430</v>
      </c>
      <c r="I242" s="0" t="n">
        <f aca="false">IF(OR(E242="개정판교체",E242="파본"),0,D242*H242)</f>
        <v>5343330</v>
      </c>
    </row>
    <row r="243" customFormat="false" ht="15" hidden="false" customHeight="false" outlineLevel="0" collapsed="false">
      <c r="A243" s="0" t="s">
        <v>96</v>
      </c>
      <c r="B243" s="1" t="s">
        <v>25</v>
      </c>
      <c r="C243" s="1" t="s">
        <v>57</v>
      </c>
      <c r="D243" s="0" t="n">
        <v>867</v>
      </c>
      <c r="E243" s="1" t="s">
        <v>117</v>
      </c>
      <c r="F243" s="0" t="n">
        <f aca="false">SUMIFS(출고!$F$2:$F$1167,출고!$B$2:$B$1167,B243,출고!$C$2:$C$1167,C243)/SUMIFS(출고!$D$2:$D$1167,출고!$B$2:$B$1167,B243,출고!$C$2:$C$1167,C243)</f>
        <v>10494.748</v>
      </c>
      <c r="G243" s="0" t="n">
        <f aca="false">D243*F243</f>
        <v>9098946.516</v>
      </c>
      <c r="H243" s="0" t="n">
        <f aca="false">INDEX(마스터!$E:$E,MATCH(C243,마스터!$A:$A,0))</f>
        <v>4870</v>
      </c>
      <c r="I243" s="0" t="n">
        <f aca="false">IF(OR(E243="개정판교체",E243="파본"),0,D243*H243)</f>
        <v>4222290</v>
      </c>
    </row>
    <row r="244" customFormat="false" ht="15" hidden="false" customHeight="false" outlineLevel="0" collapsed="false">
      <c r="A244" s="0" t="s">
        <v>96</v>
      </c>
      <c r="B244" s="1" t="s">
        <v>24</v>
      </c>
      <c r="C244" s="1" t="s">
        <v>67</v>
      </c>
      <c r="D244" s="0" t="n">
        <v>681</v>
      </c>
      <c r="E244" s="1" t="s">
        <v>116</v>
      </c>
      <c r="F244" s="0" t="n">
        <f aca="false">SUMIFS(출고!$F$2:$F$1167,출고!$B$2:$B$1167,B244,출고!$C$2:$C$1167,C244)/SUMIFS(출고!$D$2:$D$1167,출고!$B$2:$B$1167,B244,출고!$C$2:$C$1167,C244)</f>
        <v>9806.31034482759</v>
      </c>
      <c r="G244" s="0" t="n">
        <f aca="false">D244*F244</f>
        <v>6678097.34482759</v>
      </c>
      <c r="H244" s="0" t="n">
        <f aca="false">INDEX(마스터!$E:$E,MATCH(C244,마스터!$A:$A,0))</f>
        <v>4360</v>
      </c>
      <c r="I244" s="0" t="n">
        <f aca="false">IF(OR(E244="개정판교체",E244="파본"),0,D244*H244)</f>
        <v>2969160</v>
      </c>
    </row>
    <row r="245" customFormat="false" ht="15" hidden="false" customHeight="false" outlineLevel="0" collapsed="false">
      <c r="A245" s="0" t="s">
        <v>97</v>
      </c>
      <c r="B245" s="1" t="s">
        <v>14</v>
      </c>
      <c r="C245" s="1" t="s">
        <v>45</v>
      </c>
      <c r="D245" s="0" t="n">
        <v>2943</v>
      </c>
      <c r="E245" s="1" t="s">
        <v>116</v>
      </c>
      <c r="F245" s="0" t="n">
        <f aca="false">SUMIFS(출고!$F$2:$F$1167,출고!$B$2:$B$1167,B245,출고!$C$2:$C$1167,C245)/SUMIFS(출고!$D$2:$D$1167,출고!$B$2:$B$1167,B245,출고!$C$2:$C$1167,C245)</f>
        <v>11925.6097560976</v>
      </c>
      <c r="G245" s="0" t="n">
        <f aca="false">D245*F245</f>
        <v>35097069.5121951</v>
      </c>
      <c r="H245" s="0" t="n">
        <f aca="false">INDEX(마스터!$E:$E,MATCH(C245,마스터!$A:$A,0))</f>
        <v>6110</v>
      </c>
      <c r="I245" s="0" t="n">
        <f aca="false">IF(OR(E245="개정판교체",E245="파본"),0,D245*H245)</f>
        <v>17981730</v>
      </c>
    </row>
    <row r="246" customFormat="false" ht="15" hidden="false" customHeight="false" outlineLevel="0" collapsed="false">
      <c r="A246" s="0" t="s">
        <v>97</v>
      </c>
      <c r="B246" s="1" t="s">
        <v>14</v>
      </c>
      <c r="C246" s="1" t="s">
        <v>45</v>
      </c>
      <c r="D246" s="0" t="n">
        <v>3616</v>
      </c>
      <c r="E246" s="1" t="s">
        <v>117</v>
      </c>
      <c r="F246" s="0" t="n">
        <f aca="false">SUMIFS(출고!$F$2:$F$1167,출고!$B$2:$B$1167,B246,출고!$C$2:$C$1167,C246)/SUMIFS(출고!$D$2:$D$1167,출고!$B$2:$B$1167,B246,출고!$C$2:$C$1167,C246)</f>
        <v>11925.6097560976</v>
      </c>
      <c r="G246" s="0" t="n">
        <f aca="false">D246*F246</f>
        <v>43123004.8780488</v>
      </c>
      <c r="H246" s="0" t="n">
        <f aca="false">INDEX(마스터!$E:$E,MATCH(C246,마스터!$A:$A,0))</f>
        <v>6110</v>
      </c>
      <c r="I246" s="0" t="n">
        <f aca="false">IF(OR(E246="개정판교체",E246="파본"),0,D246*H246)</f>
        <v>22093760</v>
      </c>
    </row>
    <row r="247" customFormat="false" ht="15" hidden="false" customHeight="false" outlineLevel="0" collapsed="false">
      <c r="A247" s="0" t="s">
        <v>97</v>
      </c>
      <c r="B247" s="1" t="s">
        <v>14</v>
      </c>
      <c r="C247" s="1" t="s">
        <v>34</v>
      </c>
      <c r="D247" s="0" t="n">
        <v>1565</v>
      </c>
      <c r="E247" s="1" t="s">
        <v>116</v>
      </c>
      <c r="F247" s="0" t="n">
        <f aca="false">SUMIFS(출고!$F$2:$F$1167,출고!$B$2:$B$1167,B247,출고!$C$2:$C$1167,C247)/SUMIFS(출고!$D$2:$D$1167,출고!$B$2:$B$1167,B247,출고!$C$2:$C$1167,C247)</f>
        <v>11933.4980673661</v>
      </c>
      <c r="G247" s="0" t="n">
        <f aca="false">D247*F247</f>
        <v>18675924.4754279</v>
      </c>
      <c r="H247" s="0" t="n">
        <f aca="false">INDEX(마스터!$E:$E,MATCH(C247,마스터!$A:$A,0))</f>
        <v>6630</v>
      </c>
      <c r="I247" s="0" t="n">
        <f aca="false">IF(OR(E247="개정판교체",E247="파본"),0,D247*H247)</f>
        <v>10375950</v>
      </c>
    </row>
    <row r="248" customFormat="false" ht="15" hidden="false" customHeight="false" outlineLevel="0" collapsed="false">
      <c r="A248" s="0" t="s">
        <v>97</v>
      </c>
      <c r="B248" s="1" t="s">
        <v>14</v>
      </c>
      <c r="C248" s="1" t="s">
        <v>34</v>
      </c>
      <c r="D248" s="0" t="n">
        <v>1229</v>
      </c>
      <c r="E248" s="1" t="s">
        <v>118</v>
      </c>
      <c r="F248" s="0" t="n">
        <f aca="false">SUMIFS(출고!$F$2:$F$1167,출고!$B$2:$B$1167,B248,출고!$C$2:$C$1167,C248)/SUMIFS(출고!$D$2:$D$1167,출고!$B$2:$B$1167,B248,출고!$C$2:$C$1167,C248)</f>
        <v>11933.4980673661</v>
      </c>
      <c r="G248" s="0" t="n">
        <f aca="false">D248*F248</f>
        <v>14666269.1247929</v>
      </c>
      <c r="H248" s="0" t="n">
        <f aca="false">INDEX(마스터!$E:$E,MATCH(C248,마스터!$A:$A,0))</f>
        <v>6630</v>
      </c>
      <c r="I248" s="0" t="n">
        <f aca="false">IF(OR(E248="개정판교체",E248="파본"),0,D248*H248)</f>
        <v>0</v>
      </c>
    </row>
    <row r="249" customFormat="false" ht="15" hidden="false" customHeight="false" outlineLevel="0" collapsed="false">
      <c r="A249" s="0" t="s">
        <v>97</v>
      </c>
      <c r="B249" s="1" t="s">
        <v>14</v>
      </c>
      <c r="C249" s="1" t="s">
        <v>66</v>
      </c>
      <c r="D249" s="0" t="n">
        <v>3401</v>
      </c>
      <c r="E249" s="1" t="s">
        <v>117</v>
      </c>
      <c r="F249" s="0" t="n">
        <f aca="false">SUMIFS(출고!$F$2:$F$1167,출고!$B$2:$B$1167,B249,출고!$C$2:$C$1167,C249)/SUMIFS(출고!$D$2:$D$1167,출고!$B$2:$B$1167,B249,출고!$C$2:$C$1167,C249)</f>
        <v>11929.8916024553</v>
      </c>
      <c r="G249" s="0" t="n">
        <f aca="false">D249*F249</f>
        <v>40573561.3399504</v>
      </c>
      <c r="H249" s="0" t="n">
        <f aca="false">INDEX(마스터!$E:$E,MATCH(C249,마스터!$A:$A,0))</f>
        <v>6360</v>
      </c>
      <c r="I249" s="0" t="n">
        <f aca="false">IF(OR(E249="개정판교체",E249="파본"),0,D249*H249)</f>
        <v>21630360</v>
      </c>
    </row>
    <row r="250" customFormat="false" ht="15" hidden="false" customHeight="false" outlineLevel="0" collapsed="false">
      <c r="A250" s="0" t="s">
        <v>97</v>
      </c>
      <c r="B250" s="1" t="s">
        <v>14</v>
      </c>
      <c r="C250" s="1" t="s">
        <v>47</v>
      </c>
      <c r="D250" s="0" t="n">
        <v>3660</v>
      </c>
      <c r="E250" s="1" t="s">
        <v>120</v>
      </c>
      <c r="F250" s="0" t="n">
        <f aca="false">SUMIFS(출고!$F$2:$F$1167,출고!$B$2:$B$1167,B250,출고!$C$2:$C$1167,C250)/SUMIFS(출고!$D$2:$D$1167,출고!$B$2:$B$1167,B250,출고!$C$2:$C$1167,C250)</f>
        <v>8382.27260602828</v>
      </c>
      <c r="G250" s="0" t="n">
        <f aca="false">D250*F250</f>
        <v>30679117.7380635</v>
      </c>
      <c r="H250" s="0" t="n">
        <f aca="false">INDEX(마스터!$E:$E,MATCH(C250,마스터!$A:$A,0))</f>
        <v>4170</v>
      </c>
      <c r="I250" s="0" t="n">
        <f aca="false">IF(OR(E250="개정판교체",E250="파본"),0,D250*H250)</f>
        <v>0</v>
      </c>
    </row>
    <row r="251" customFormat="false" ht="15" hidden="false" customHeight="false" outlineLevel="0" collapsed="false">
      <c r="A251" s="0" t="s">
        <v>97</v>
      </c>
      <c r="B251" s="1" t="s">
        <v>14</v>
      </c>
      <c r="C251" s="1" t="s">
        <v>47</v>
      </c>
      <c r="D251" s="0" t="n">
        <v>646</v>
      </c>
      <c r="E251" s="1" t="s">
        <v>116</v>
      </c>
      <c r="F251" s="0" t="n">
        <f aca="false">SUMIFS(출고!$F$2:$F$1167,출고!$B$2:$B$1167,B251,출고!$C$2:$C$1167,C251)/SUMIFS(출고!$D$2:$D$1167,출고!$B$2:$B$1167,B251,출고!$C$2:$C$1167,C251)</f>
        <v>8382.27260602828</v>
      </c>
      <c r="G251" s="0" t="n">
        <f aca="false">D251*F251</f>
        <v>5414948.10349427</v>
      </c>
      <c r="H251" s="0" t="n">
        <f aca="false">INDEX(마스터!$E:$E,MATCH(C251,마스터!$A:$A,0))</f>
        <v>4170</v>
      </c>
      <c r="I251" s="0" t="n">
        <f aca="false">IF(OR(E251="개정판교체",E251="파본"),0,D251*H251)</f>
        <v>2693820</v>
      </c>
    </row>
    <row r="252" customFormat="false" ht="15" hidden="false" customHeight="false" outlineLevel="0" collapsed="false">
      <c r="A252" s="0" t="s">
        <v>97</v>
      </c>
      <c r="B252" s="1" t="s">
        <v>15</v>
      </c>
      <c r="C252" s="1" t="s">
        <v>66</v>
      </c>
      <c r="D252" s="0" t="n">
        <v>1503</v>
      </c>
      <c r="E252" s="1" t="s">
        <v>117</v>
      </c>
      <c r="F252" s="0" t="n">
        <f aca="false">SUMIFS(출고!$F$2:$F$1167,출고!$B$2:$B$1167,B252,출고!$C$2:$C$1167,C252)/SUMIFS(출고!$D$2:$D$1167,출고!$B$2:$B$1167,B252,출고!$C$2:$C$1167,C252)</f>
        <v>12030.3590777372</v>
      </c>
      <c r="G252" s="0" t="n">
        <f aca="false">D252*F252</f>
        <v>18081629.693839</v>
      </c>
      <c r="H252" s="0" t="n">
        <f aca="false">INDEX(마스터!$E:$E,MATCH(C252,마스터!$A:$A,0))</f>
        <v>6360</v>
      </c>
      <c r="I252" s="0" t="n">
        <f aca="false">IF(OR(E252="개정판교체",E252="파본"),0,D252*H252)</f>
        <v>9559080</v>
      </c>
    </row>
    <row r="253" customFormat="false" ht="15" hidden="false" customHeight="false" outlineLevel="0" collapsed="false">
      <c r="A253" s="0" t="s">
        <v>97</v>
      </c>
      <c r="B253" s="1" t="s">
        <v>15</v>
      </c>
      <c r="C253" s="1" t="s">
        <v>35</v>
      </c>
      <c r="D253" s="0" t="n">
        <v>1338</v>
      </c>
      <c r="E253" s="1" t="s">
        <v>116</v>
      </c>
      <c r="F253" s="0" t="n">
        <f aca="false">SUMIFS(출고!$F$2:$F$1167,출고!$B$2:$B$1167,B253,출고!$C$2:$C$1167,C253)/SUMIFS(출고!$D$2:$D$1167,출고!$B$2:$B$1167,B253,출고!$C$2:$C$1167,C253)</f>
        <v>9742.78525868179</v>
      </c>
      <c r="G253" s="0" t="n">
        <f aca="false">D253*F253</f>
        <v>13035846.6761162</v>
      </c>
      <c r="H253" s="0" t="n">
        <f aca="false">INDEX(마스터!$E:$E,MATCH(C253,마스터!$A:$A,0))</f>
        <v>4920</v>
      </c>
      <c r="I253" s="0" t="n">
        <f aca="false">IF(OR(E253="개정판교체",E253="파본"),0,D253*H253)</f>
        <v>6582960</v>
      </c>
    </row>
    <row r="254" customFormat="false" ht="15" hidden="false" customHeight="false" outlineLevel="0" collapsed="false">
      <c r="A254" s="0" t="s">
        <v>97</v>
      </c>
      <c r="B254" s="1" t="s">
        <v>15</v>
      </c>
      <c r="C254" s="1" t="s">
        <v>47</v>
      </c>
      <c r="D254" s="0" t="n">
        <v>2381</v>
      </c>
      <c r="E254" s="1" t="s">
        <v>120</v>
      </c>
      <c r="F254" s="0" t="n">
        <f aca="false">SUMIFS(출고!$F$2:$F$1167,출고!$B$2:$B$1167,B254,출고!$C$2:$C$1167,C254)/SUMIFS(출고!$D$2:$D$1167,출고!$B$2:$B$1167,B254,출고!$C$2:$C$1167,C254)</f>
        <v>8455.46315291147</v>
      </c>
      <c r="G254" s="0" t="n">
        <f aca="false">D254*F254</f>
        <v>20132457.7670822</v>
      </c>
      <c r="H254" s="0" t="n">
        <f aca="false">INDEX(마스터!$E:$E,MATCH(C254,마스터!$A:$A,0))</f>
        <v>4170</v>
      </c>
      <c r="I254" s="0" t="n">
        <f aca="false">IF(OR(E254="개정판교체",E254="파본"),0,D254*H254)</f>
        <v>0</v>
      </c>
    </row>
    <row r="255" customFormat="false" ht="15" hidden="false" customHeight="false" outlineLevel="0" collapsed="false">
      <c r="A255" s="0" t="s">
        <v>97</v>
      </c>
      <c r="B255" s="1" t="s">
        <v>15</v>
      </c>
      <c r="C255" s="1" t="s">
        <v>47</v>
      </c>
      <c r="D255" s="0" t="n">
        <v>420</v>
      </c>
      <c r="E255" s="1" t="s">
        <v>116</v>
      </c>
      <c r="F255" s="0" t="n">
        <f aca="false">SUMIFS(출고!$F$2:$F$1167,출고!$B$2:$B$1167,B255,출고!$C$2:$C$1167,C255)/SUMIFS(출고!$D$2:$D$1167,출고!$B$2:$B$1167,B255,출고!$C$2:$C$1167,C255)</f>
        <v>8455.46315291147</v>
      </c>
      <c r="G255" s="0" t="n">
        <f aca="false">D255*F255</f>
        <v>3551294.52422282</v>
      </c>
      <c r="H255" s="0" t="n">
        <f aca="false">INDEX(마스터!$E:$E,MATCH(C255,마스터!$A:$A,0))</f>
        <v>4170</v>
      </c>
      <c r="I255" s="0" t="n">
        <f aca="false">IF(OR(E255="개정판교체",E255="파본"),0,D255*H255)</f>
        <v>1751400</v>
      </c>
    </row>
    <row r="256" customFormat="false" ht="15" hidden="false" customHeight="false" outlineLevel="0" collapsed="false">
      <c r="A256" s="0" t="s">
        <v>97</v>
      </c>
      <c r="B256" s="1" t="s">
        <v>16</v>
      </c>
      <c r="C256" s="1" t="s">
        <v>72</v>
      </c>
      <c r="D256" s="0" t="n">
        <v>996</v>
      </c>
      <c r="E256" s="1" t="s">
        <v>119</v>
      </c>
      <c r="F256" s="0" t="n">
        <f aca="false">SUMIFS(출고!$F$2:$F$1167,출고!$B$2:$B$1167,B256,출고!$C$2:$C$1167,C256)/SUMIFS(출고!$D$2:$D$1167,출고!$B$2:$B$1167,B256,출고!$C$2:$C$1167,C256)</f>
        <v>12427.5538730344</v>
      </c>
      <c r="G256" s="0" t="n">
        <f aca="false">D256*F256</f>
        <v>12377843.6575422</v>
      </c>
      <c r="H256" s="0" t="n">
        <f aca="false">INDEX(마스터!$E:$E,MATCH(C256,마스터!$A:$A,0))</f>
        <v>5920</v>
      </c>
      <c r="I256" s="0" t="n">
        <f aca="false">IF(OR(E256="개정판교체",E256="파본"),0,D256*H256)</f>
        <v>5896320</v>
      </c>
    </row>
    <row r="257" customFormat="false" ht="15" hidden="false" customHeight="false" outlineLevel="0" collapsed="false">
      <c r="A257" s="0" t="s">
        <v>97</v>
      </c>
      <c r="B257" s="1" t="s">
        <v>16</v>
      </c>
      <c r="C257" s="1" t="s">
        <v>66</v>
      </c>
      <c r="D257" s="0" t="n">
        <v>935</v>
      </c>
      <c r="E257" s="1" t="s">
        <v>118</v>
      </c>
      <c r="F257" s="0" t="n">
        <f aca="false">SUMIFS(출고!$F$2:$F$1167,출고!$B$2:$B$1167,B257,출고!$C$2:$C$1167,C257)/SUMIFS(출고!$D$2:$D$1167,출고!$B$2:$B$1167,B257,출고!$C$2:$C$1167,C257)</f>
        <v>13064.43000693</v>
      </c>
      <c r="G257" s="0" t="n">
        <f aca="false">D257*F257</f>
        <v>12215242.0564796</v>
      </c>
      <c r="H257" s="0" t="n">
        <f aca="false">INDEX(마스터!$E:$E,MATCH(C257,마스터!$A:$A,0))</f>
        <v>6360</v>
      </c>
      <c r="I257" s="0" t="n">
        <f aca="false">IF(OR(E257="개정판교체",E257="파본"),0,D257*H257)</f>
        <v>0</v>
      </c>
    </row>
    <row r="258" customFormat="false" ht="15" hidden="false" customHeight="false" outlineLevel="0" collapsed="false">
      <c r="A258" s="0" t="s">
        <v>97</v>
      </c>
      <c r="B258" s="1" t="s">
        <v>16</v>
      </c>
      <c r="C258" s="1" t="s">
        <v>47</v>
      </c>
      <c r="D258" s="0" t="n">
        <v>978</v>
      </c>
      <c r="E258" s="1" t="s">
        <v>120</v>
      </c>
      <c r="F258" s="0" t="n">
        <f aca="false">SUMIFS(출고!$F$2:$F$1167,출고!$B$2:$B$1167,B258,출고!$C$2:$C$1167,C258)/SUMIFS(출고!$D$2:$D$1167,출고!$B$2:$B$1167,B258,출고!$C$2:$C$1167,C258)</f>
        <v>9173.21741081445</v>
      </c>
      <c r="G258" s="0" t="n">
        <f aca="false">D258*F258</f>
        <v>8971406.62777653</v>
      </c>
      <c r="H258" s="0" t="n">
        <f aca="false">INDEX(마스터!$E:$E,MATCH(C258,마스터!$A:$A,0))</f>
        <v>4170</v>
      </c>
      <c r="I258" s="0" t="n">
        <f aca="false">IF(OR(E258="개정판교체",E258="파본"),0,D258*H258)</f>
        <v>0</v>
      </c>
    </row>
    <row r="259" customFormat="false" ht="15" hidden="false" customHeight="false" outlineLevel="0" collapsed="false">
      <c r="A259" s="0" t="s">
        <v>97</v>
      </c>
      <c r="B259" s="1" t="s">
        <v>17</v>
      </c>
      <c r="C259" s="1" t="s">
        <v>38</v>
      </c>
      <c r="D259" s="0" t="n">
        <v>970</v>
      </c>
      <c r="E259" s="1" t="s">
        <v>116</v>
      </c>
      <c r="F259" s="0" t="n">
        <f aca="false">SUMIFS(출고!$F$2:$F$1167,출고!$B$2:$B$1167,B259,출고!$C$2:$C$1167,C259)/SUMIFS(출고!$D$2:$D$1167,출고!$B$2:$B$1167,B259,출고!$C$2:$C$1167,C259)</f>
        <v>11290.7279191617</v>
      </c>
      <c r="G259" s="0" t="n">
        <f aca="false">D259*F259</f>
        <v>10952006.0815868</v>
      </c>
      <c r="H259" s="0" t="n">
        <f aca="false">INDEX(마스터!$E:$E,MATCH(C259,마스터!$A:$A,0))</f>
        <v>5670</v>
      </c>
      <c r="I259" s="0" t="n">
        <f aca="false">IF(OR(E259="개정판교체",E259="파본"),0,D259*H259)</f>
        <v>5499900</v>
      </c>
    </row>
    <row r="260" customFormat="false" ht="15" hidden="false" customHeight="false" outlineLevel="0" collapsed="false">
      <c r="A260" s="0" t="s">
        <v>97</v>
      </c>
      <c r="B260" s="1" t="s">
        <v>17</v>
      </c>
      <c r="C260" s="1" t="s">
        <v>46</v>
      </c>
      <c r="D260" s="0" t="n">
        <v>961</v>
      </c>
      <c r="E260" s="1" t="s">
        <v>116</v>
      </c>
      <c r="F260" s="0" t="n">
        <f aca="false">SUMIFS(출고!$F$2:$F$1167,출고!$B$2:$B$1167,B260,출고!$C$2:$C$1167,C260)/SUMIFS(출고!$D$2:$D$1167,출고!$B$2:$B$1167,B260,출고!$C$2:$C$1167,C260)</f>
        <v>13223.0326633166</v>
      </c>
      <c r="G260" s="0" t="n">
        <f aca="false">D260*F260</f>
        <v>12707334.3894472</v>
      </c>
      <c r="H260" s="0" t="n">
        <f aca="false">INDEX(마스터!$E:$E,MATCH(C260,마스터!$A:$A,0))</f>
        <v>6910</v>
      </c>
      <c r="I260" s="0" t="n">
        <f aca="false">IF(OR(E260="개정판교체",E260="파본"),0,D260*H260)</f>
        <v>6640510</v>
      </c>
    </row>
    <row r="261" customFormat="false" ht="15" hidden="false" customHeight="false" outlineLevel="0" collapsed="false">
      <c r="A261" s="0" t="s">
        <v>97</v>
      </c>
      <c r="B261" s="1" t="s">
        <v>17</v>
      </c>
      <c r="C261" s="1" t="s">
        <v>47</v>
      </c>
      <c r="D261" s="0" t="n">
        <v>1742</v>
      </c>
      <c r="E261" s="1" t="s">
        <v>120</v>
      </c>
      <c r="F261" s="0" t="n">
        <f aca="false">SUMIFS(출고!$F$2:$F$1167,출고!$B$2:$B$1167,B261,출고!$C$2:$C$1167,C261)/SUMIFS(출고!$D$2:$D$1167,출고!$B$2:$B$1167,B261,출고!$C$2:$C$1167,C261)</f>
        <v>8386.65559982293</v>
      </c>
      <c r="G261" s="0" t="n">
        <f aca="false">D261*F261</f>
        <v>14609554.0548915</v>
      </c>
      <c r="H261" s="0" t="n">
        <f aca="false">INDEX(마스터!$E:$E,MATCH(C261,마스터!$A:$A,0))</f>
        <v>4170</v>
      </c>
      <c r="I261" s="0" t="n">
        <f aca="false">IF(OR(E261="개정판교체",E261="파본"),0,D261*H261)</f>
        <v>0</v>
      </c>
    </row>
    <row r="262" customFormat="false" ht="15" hidden="false" customHeight="false" outlineLevel="0" collapsed="false">
      <c r="A262" s="0" t="s">
        <v>97</v>
      </c>
      <c r="B262" s="1" t="s">
        <v>18</v>
      </c>
      <c r="C262" s="1" t="s">
        <v>58</v>
      </c>
      <c r="D262" s="0" t="n">
        <v>662</v>
      </c>
      <c r="E262" s="1" t="s">
        <v>116</v>
      </c>
      <c r="F262" s="0" t="n">
        <f aca="false">SUMIFS(출고!$F$2:$F$1167,출고!$B$2:$B$1167,B262,출고!$C$2:$C$1167,C262)/SUMIFS(출고!$D$2:$D$1167,출고!$B$2:$B$1167,B262,출고!$C$2:$C$1167,C262)</f>
        <v>12008.6380072318</v>
      </c>
      <c r="G262" s="0" t="n">
        <f aca="false">D262*F262</f>
        <v>7949718.36078747</v>
      </c>
      <c r="H262" s="0" t="n">
        <f aca="false">INDEX(마스터!$E:$E,MATCH(C262,마스터!$A:$A,0))</f>
        <v>5720</v>
      </c>
      <c r="I262" s="0" t="n">
        <f aca="false">IF(OR(E262="개정판교체",E262="파본"),0,D262*H262)</f>
        <v>3786640</v>
      </c>
    </row>
    <row r="263" customFormat="false" ht="15" hidden="false" customHeight="false" outlineLevel="0" collapsed="false">
      <c r="A263" s="0" t="s">
        <v>97</v>
      </c>
      <c r="B263" s="1" t="s">
        <v>18</v>
      </c>
      <c r="C263" s="1" t="s">
        <v>34</v>
      </c>
      <c r="D263" s="0" t="n">
        <v>308</v>
      </c>
      <c r="E263" s="1" t="s">
        <v>117</v>
      </c>
      <c r="F263" s="0" t="n">
        <f aca="false">SUMIFS(출고!$F$2:$F$1167,출고!$B$2:$B$1167,B263,출고!$C$2:$C$1167,C263)/SUMIFS(출고!$D$2:$D$1167,출고!$B$2:$B$1167,B263,출고!$C$2:$C$1167,C263)</f>
        <v>13142.2388059702</v>
      </c>
      <c r="G263" s="0" t="n">
        <f aca="false">D263*F263</f>
        <v>4047809.55223881</v>
      </c>
      <c r="H263" s="0" t="n">
        <f aca="false">INDEX(마스터!$E:$E,MATCH(C263,마스터!$A:$A,0))</f>
        <v>6630</v>
      </c>
      <c r="I263" s="0" t="n">
        <f aca="false">IF(OR(E263="개정판교체",E263="파본"),0,D263*H263)</f>
        <v>2042040</v>
      </c>
    </row>
    <row r="264" customFormat="false" ht="15" hidden="false" customHeight="false" outlineLevel="0" collapsed="false">
      <c r="A264" s="0" t="s">
        <v>97</v>
      </c>
      <c r="B264" s="1" t="s">
        <v>18</v>
      </c>
      <c r="C264" s="1" t="s">
        <v>34</v>
      </c>
      <c r="D264" s="0" t="n">
        <v>242</v>
      </c>
      <c r="E264" s="1" t="s">
        <v>118</v>
      </c>
      <c r="F264" s="0" t="n">
        <f aca="false">SUMIFS(출고!$F$2:$F$1167,출고!$B$2:$B$1167,B264,출고!$C$2:$C$1167,C264)/SUMIFS(출고!$D$2:$D$1167,출고!$B$2:$B$1167,B264,출고!$C$2:$C$1167,C264)</f>
        <v>13142.2388059702</v>
      </c>
      <c r="G264" s="0" t="n">
        <f aca="false">D264*F264</f>
        <v>3180421.79104478</v>
      </c>
      <c r="H264" s="0" t="n">
        <f aca="false">INDEX(마스터!$E:$E,MATCH(C264,마스터!$A:$A,0))</f>
        <v>6630</v>
      </c>
      <c r="I264" s="0" t="n">
        <f aca="false">IF(OR(E264="개정판교체",E264="파본"),0,D264*H264)</f>
        <v>0</v>
      </c>
    </row>
    <row r="265" customFormat="false" ht="15" hidden="false" customHeight="false" outlineLevel="0" collapsed="false">
      <c r="A265" s="0" t="s">
        <v>97</v>
      </c>
      <c r="B265" s="1" t="s">
        <v>19</v>
      </c>
      <c r="C265" s="1" t="s">
        <v>42</v>
      </c>
      <c r="D265" s="0" t="n">
        <v>980</v>
      </c>
      <c r="E265" s="1" t="s">
        <v>116</v>
      </c>
      <c r="F265" s="0" t="n">
        <f aca="false">SUMIFS(출고!$F$2:$F$1167,출고!$B$2:$B$1167,B265,출고!$C$2:$C$1167,C265)/SUMIFS(출고!$D$2:$D$1167,출고!$B$2:$B$1167,B265,출고!$C$2:$C$1167,C265)</f>
        <v>12320.7000946074</v>
      </c>
      <c r="G265" s="0" t="n">
        <f aca="false">D265*F265</f>
        <v>12074286.0927152</v>
      </c>
      <c r="H265" s="0" t="n">
        <f aca="false">INDEX(마스터!$E:$E,MATCH(C265,마스터!$A:$A,0))</f>
        <v>6730</v>
      </c>
      <c r="I265" s="0" t="n">
        <f aca="false">IF(OR(E265="개정판교체",E265="파본"),0,D265*H265)</f>
        <v>6595400</v>
      </c>
    </row>
    <row r="266" customFormat="false" ht="15" hidden="false" customHeight="false" outlineLevel="0" collapsed="false">
      <c r="A266" s="0" t="s">
        <v>97</v>
      </c>
      <c r="B266" s="1" t="s">
        <v>19</v>
      </c>
      <c r="C266" s="1" t="s">
        <v>42</v>
      </c>
      <c r="D266" s="0" t="n">
        <v>600</v>
      </c>
      <c r="E266" s="1" t="s">
        <v>118</v>
      </c>
      <c r="F266" s="0" t="n">
        <f aca="false">SUMIFS(출고!$F$2:$F$1167,출고!$B$2:$B$1167,B266,출고!$C$2:$C$1167,C266)/SUMIFS(출고!$D$2:$D$1167,출고!$B$2:$B$1167,B266,출고!$C$2:$C$1167,C266)</f>
        <v>12320.7000946074</v>
      </c>
      <c r="G266" s="0" t="n">
        <f aca="false">D266*F266</f>
        <v>7392420.05676443</v>
      </c>
      <c r="H266" s="0" t="n">
        <f aca="false">INDEX(마스터!$E:$E,MATCH(C266,마스터!$A:$A,0))</f>
        <v>6730</v>
      </c>
      <c r="I266" s="0" t="n">
        <f aca="false">IF(OR(E266="개정판교체",E266="파본"),0,D266*H266)</f>
        <v>0</v>
      </c>
    </row>
    <row r="267" customFormat="false" ht="15" hidden="false" customHeight="false" outlineLevel="0" collapsed="false">
      <c r="A267" s="0" t="s">
        <v>97</v>
      </c>
      <c r="B267" s="1" t="s">
        <v>20</v>
      </c>
      <c r="C267" s="1" t="s">
        <v>55</v>
      </c>
      <c r="D267" s="0" t="n">
        <v>418</v>
      </c>
      <c r="E267" s="1" t="s">
        <v>117</v>
      </c>
      <c r="F267" s="0" t="n">
        <f aca="false">SUMIFS(출고!$F$2:$F$1167,출고!$B$2:$B$1167,B267,출고!$C$2:$C$1167,C267)/SUMIFS(출고!$D$2:$D$1167,출고!$B$2:$B$1167,B267,출고!$C$2:$C$1167,C267)</f>
        <v>13083.9090511587</v>
      </c>
      <c r="G267" s="0" t="n">
        <f aca="false">D267*F267</f>
        <v>5469073.98338435</v>
      </c>
      <c r="H267" s="0" t="n">
        <f aca="false">INDEX(마스터!$E:$E,MATCH(C267,마스터!$A:$A,0))</f>
        <v>6040</v>
      </c>
      <c r="I267" s="0" t="n">
        <f aca="false">IF(OR(E267="개정판교체",E267="파본"),0,D267*H267)</f>
        <v>2524720</v>
      </c>
    </row>
    <row r="268" customFormat="false" ht="15" hidden="false" customHeight="false" outlineLevel="0" collapsed="false">
      <c r="A268" s="0" t="s">
        <v>97</v>
      </c>
      <c r="B268" s="1" t="s">
        <v>20</v>
      </c>
      <c r="C268" s="1" t="s">
        <v>55</v>
      </c>
      <c r="D268" s="0" t="n">
        <v>225</v>
      </c>
      <c r="E268" s="1" t="s">
        <v>118</v>
      </c>
      <c r="F268" s="0" t="n">
        <f aca="false">SUMIFS(출고!$F$2:$F$1167,출고!$B$2:$B$1167,B268,출고!$C$2:$C$1167,C268)/SUMIFS(출고!$D$2:$D$1167,출고!$B$2:$B$1167,B268,출고!$C$2:$C$1167,C268)</f>
        <v>13083.9090511587</v>
      </c>
      <c r="G268" s="0" t="n">
        <f aca="false">D268*F268</f>
        <v>2943879.53651071</v>
      </c>
      <c r="H268" s="0" t="n">
        <f aca="false">INDEX(마스터!$E:$E,MATCH(C268,마스터!$A:$A,0))</f>
        <v>6040</v>
      </c>
      <c r="I268" s="0" t="n">
        <f aca="false">IF(OR(E268="개정판교체",E268="파본"),0,D268*H268)</f>
        <v>0</v>
      </c>
    </row>
    <row r="269" customFormat="false" ht="15" hidden="false" customHeight="false" outlineLevel="0" collapsed="false">
      <c r="A269" s="0" t="s">
        <v>97</v>
      </c>
      <c r="B269" s="1" t="s">
        <v>21</v>
      </c>
      <c r="C269" s="1" t="s">
        <v>72</v>
      </c>
      <c r="D269" s="0" t="n">
        <v>812</v>
      </c>
      <c r="E269" s="1" t="s">
        <v>116</v>
      </c>
      <c r="F269" s="0" t="n">
        <f aca="false">SUMIFS(출고!$F$2:$F$1167,출고!$B$2:$B$1167,B269,출고!$C$2:$C$1167,C269)/SUMIFS(출고!$D$2:$D$1167,출고!$B$2:$B$1167,B269,출고!$C$2:$C$1167,C269)</f>
        <v>12263.2052376886</v>
      </c>
      <c r="G269" s="0" t="n">
        <f aca="false">D269*F269</f>
        <v>9957722.65300313</v>
      </c>
      <c r="H269" s="0" t="n">
        <f aca="false">INDEX(마스터!$E:$E,MATCH(C269,마스터!$A:$A,0))</f>
        <v>5920</v>
      </c>
      <c r="I269" s="0" t="n">
        <f aca="false">IF(OR(E269="개정판교체",E269="파본"),0,D269*H269)</f>
        <v>4807040</v>
      </c>
    </row>
    <row r="270" customFormat="false" ht="15" hidden="false" customHeight="false" outlineLevel="0" collapsed="false">
      <c r="A270" s="0" t="s">
        <v>97</v>
      </c>
      <c r="B270" s="1" t="s">
        <v>21</v>
      </c>
      <c r="C270" s="1" t="s">
        <v>36</v>
      </c>
      <c r="D270" s="0" t="n">
        <v>986</v>
      </c>
      <c r="E270" s="1" t="s">
        <v>117</v>
      </c>
      <c r="F270" s="0" t="n">
        <f aca="false">SUMIFS(출고!$F$2:$F$1167,출고!$B$2:$B$1167,B270,출고!$C$2:$C$1167,C270)/SUMIFS(출고!$D$2:$D$1167,출고!$B$2:$B$1167,B270,출고!$C$2:$C$1167,C270)</f>
        <v>10154.4386494647</v>
      </c>
      <c r="G270" s="0" t="n">
        <f aca="false">D270*F270</f>
        <v>10012276.5083722</v>
      </c>
      <c r="H270" s="0" t="n">
        <f aca="false">INDEX(마스터!$E:$E,MATCH(C270,마스터!$A:$A,0))</f>
        <v>4540</v>
      </c>
      <c r="I270" s="0" t="n">
        <f aca="false">IF(OR(E270="개정판교체",E270="파본"),0,D270*H270)</f>
        <v>4476440</v>
      </c>
    </row>
    <row r="271" customFormat="false" ht="15" hidden="false" customHeight="false" outlineLevel="0" collapsed="false">
      <c r="A271" s="0" t="s">
        <v>97</v>
      </c>
      <c r="B271" s="1" t="s">
        <v>22</v>
      </c>
      <c r="C271" s="1" t="s">
        <v>42</v>
      </c>
      <c r="D271" s="0" t="n">
        <v>897</v>
      </c>
      <c r="E271" s="1" t="s">
        <v>117</v>
      </c>
      <c r="F271" s="0" t="n">
        <f aca="false">SUMIFS(출고!$F$2:$F$1167,출고!$B$2:$B$1167,B271,출고!$C$2:$C$1167,C271)/SUMIFS(출고!$D$2:$D$1167,출고!$B$2:$B$1167,B271,출고!$C$2:$C$1167,C271)</f>
        <v>13347.9758011772</v>
      </c>
      <c r="G271" s="0" t="n">
        <f aca="false">D271*F271</f>
        <v>11973134.293656</v>
      </c>
      <c r="H271" s="0" t="n">
        <f aca="false">INDEX(마스터!$E:$E,MATCH(C271,마스터!$A:$A,0))</f>
        <v>6730</v>
      </c>
      <c r="I271" s="0" t="n">
        <f aca="false">IF(OR(E271="개정판교체",E271="파본"),0,D271*H271)</f>
        <v>6036810</v>
      </c>
    </row>
    <row r="272" customFormat="false" ht="15" hidden="false" customHeight="false" outlineLevel="0" collapsed="false">
      <c r="A272" s="0" t="s">
        <v>97</v>
      </c>
      <c r="B272" s="1" t="s">
        <v>22</v>
      </c>
      <c r="C272" s="1" t="s">
        <v>42</v>
      </c>
      <c r="D272" s="0" t="n">
        <v>549</v>
      </c>
      <c r="E272" s="1" t="s">
        <v>118</v>
      </c>
      <c r="F272" s="0" t="n">
        <f aca="false">SUMIFS(출고!$F$2:$F$1167,출고!$B$2:$B$1167,B272,출고!$C$2:$C$1167,C272)/SUMIFS(출고!$D$2:$D$1167,출고!$B$2:$B$1167,B272,출고!$C$2:$C$1167,C272)</f>
        <v>13347.9758011772</v>
      </c>
      <c r="G272" s="0" t="n">
        <f aca="false">D272*F272</f>
        <v>7328038.71484631</v>
      </c>
      <c r="H272" s="0" t="n">
        <f aca="false">INDEX(마스터!$E:$E,MATCH(C272,마스터!$A:$A,0))</f>
        <v>6730</v>
      </c>
      <c r="I272" s="0" t="n">
        <f aca="false">IF(OR(E272="개정판교체",E272="파본"),0,D272*H272)</f>
        <v>0</v>
      </c>
    </row>
    <row r="273" customFormat="false" ht="15" hidden="false" customHeight="false" outlineLevel="0" collapsed="false">
      <c r="A273" s="0" t="s">
        <v>97</v>
      </c>
      <c r="B273" s="1" t="s">
        <v>23</v>
      </c>
      <c r="C273" s="1" t="s">
        <v>66</v>
      </c>
      <c r="D273" s="0" t="n">
        <v>1521</v>
      </c>
      <c r="E273" s="1" t="s">
        <v>116</v>
      </c>
      <c r="F273" s="0" t="n">
        <f aca="false">SUMIFS(출고!$F$2:$F$1167,출고!$B$2:$B$1167,B273,출고!$C$2:$C$1167,C273)/SUMIFS(출고!$D$2:$D$1167,출고!$B$2:$B$1167,B273,출고!$C$2:$C$1167,C273)</f>
        <v>12916.9945355191</v>
      </c>
      <c r="G273" s="0" t="n">
        <f aca="false">D273*F273</f>
        <v>19646748.6885246</v>
      </c>
      <c r="H273" s="0" t="n">
        <f aca="false">INDEX(마스터!$E:$E,MATCH(C273,마스터!$A:$A,0))</f>
        <v>6360</v>
      </c>
      <c r="I273" s="0" t="n">
        <f aca="false">IF(OR(E273="개정판교체",E273="파본"),0,D273*H273)</f>
        <v>9673560</v>
      </c>
    </row>
    <row r="274" customFormat="false" ht="15" hidden="false" customHeight="false" outlineLevel="0" collapsed="false">
      <c r="A274" s="0" t="s">
        <v>97</v>
      </c>
      <c r="B274" s="1" t="s">
        <v>25</v>
      </c>
      <c r="C274" s="1" t="s">
        <v>37</v>
      </c>
      <c r="D274" s="0" t="n">
        <v>1248</v>
      </c>
      <c r="E274" s="1" t="s">
        <v>117</v>
      </c>
      <c r="F274" s="0" t="n">
        <f aca="false">SUMIFS(출고!$F$2:$F$1167,출고!$B$2:$B$1167,B274,출고!$C$2:$C$1167,C274)/SUMIFS(출고!$D$2:$D$1167,출고!$B$2:$B$1167,B274,출고!$C$2:$C$1167,C274)</f>
        <v>10496.6887661142</v>
      </c>
      <c r="G274" s="0" t="n">
        <f aca="false">D274*F274</f>
        <v>13099867.5801105</v>
      </c>
      <c r="H274" s="0" t="n">
        <f aca="false">INDEX(마스터!$E:$E,MATCH(C274,마스터!$A:$A,0))</f>
        <v>4900</v>
      </c>
      <c r="I274" s="0" t="n">
        <f aca="false">IF(OR(E274="개정판교체",E274="파본"),0,D274*H274)</f>
        <v>6115200</v>
      </c>
    </row>
    <row r="275" customFormat="false" ht="15" hidden="false" customHeight="false" outlineLevel="0" collapsed="false">
      <c r="A275" s="0" t="s">
        <v>97</v>
      </c>
      <c r="B275" s="1" t="s">
        <v>24</v>
      </c>
      <c r="C275" s="1" t="s">
        <v>60</v>
      </c>
      <c r="D275" s="0" t="n">
        <v>1150</v>
      </c>
      <c r="E275" s="1" t="s">
        <v>119</v>
      </c>
      <c r="F275" s="0" t="n">
        <f aca="false">SUMIFS(출고!$F$2:$F$1167,출고!$B$2:$B$1167,B275,출고!$C$2:$C$1167,C275)/SUMIFS(출고!$D$2:$D$1167,출고!$B$2:$B$1167,B275,출고!$C$2:$C$1167,C275)</f>
        <v>13665.5523964257</v>
      </c>
      <c r="G275" s="0" t="n">
        <f aca="false">D275*F275</f>
        <v>15715385.2558895</v>
      </c>
      <c r="H275" s="0" t="n">
        <f aca="false">INDEX(마스터!$E:$E,MATCH(C275,마스터!$A:$A,0))</f>
        <v>6980</v>
      </c>
      <c r="I275" s="0" t="n">
        <f aca="false">IF(OR(E275="개정판교체",E275="파본"),0,D275*H275)</f>
        <v>8027000</v>
      </c>
    </row>
    <row r="276" customFormat="false" ht="15" hidden="false" customHeight="false" outlineLevel="0" collapsed="false">
      <c r="A276" s="0" t="s">
        <v>98</v>
      </c>
      <c r="B276" s="1" t="s">
        <v>14</v>
      </c>
      <c r="C276" s="1" t="s">
        <v>41</v>
      </c>
      <c r="D276" s="0" t="n">
        <v>4254</v>
      </c>
      <c r="E276" s="1" t="s">
        <v>116</v>
      </c>
      <c r="F276" s="0" t="n">
        <f aca="false">SUMIFS(출고!$F$2:$F$1167,출고!$B$2:$B$1167,B276,출고!$C$2:$C$1167,C276)/SUMIFS(출고!$D$2:$D$1167,출고!$B$2:$B$1167,B276,출고!$C$2:$C$1167,C276)</f>
        <v>10967.1647780925</v>
      </c>
      <c r="G276" s="0" t="n">
        <f aca="false">D276*F276</f>
        <v>46654318.9660057</v>
      </c>
      <c r="H276" s="0" t="n">
        <f aca="false">INDEX(마스터!$E:$E,MATCH(C276,마스터!$A:$A,0))</f>
        <v>5480</v>
      </c>
      <c r="I276" s="0" t="n">
        <f aca="false">IF(OR(E276="개정판교체",E276="파본"),0,D276*H276)</f>
        <v>23311920</v>
      </c>
    </row>
    <row r="277" customFormat="false" ht="15" hidden="false" customHeight="false" outlineLevel="0" collapsed="false">
      <c r="A277" s="0" t="s">
        <v>98</v>
      </c>
      <c r="B277" s="1" t="s">
        <v>14</v>
      </c>
      <c r="C277" s="1" t="s">
        <v>42</v>
      </c>
      <c r="D277" s="0" t="n">
        <v>2288</v>
      </c>
      <c r="E277" s="1" t="s">
        <v>116</v>
      </c>
      <c r="F277" s="0" t="n">
        <f aca="false">SUMIFS(출고!$F$2:$F$1167,출고!$B$2:$B$1167,B277,출고!$C$2:$C$1167,C277)/SUMIFS(출고!$D$2:$D$1167,출고!$B$2:$B$1167,B277,출고!$C$2:$C$1167,C277)</f>
        <v>12244.3541401274</v>
      </c>
      <c r="G277" s="0" t="n">
        <f aca="false">D277*F277</f>
        <v>28015082.2726115</v>
      </c>
      <c r="H277" s="0" t="n">
        <f aca="false">INDEX(마스터!$E:$E,MATCH(C277,마스터!$A:$A,0))</f>
        <v>6730</v>
      </c>
      <c r="I277" s="0" t="n">
        <f aca="false">IF(OR(E277="개정판교체",E277="파본"),0,D277*H277)</f>
        <v>15398240</v>
      </c>
    </row>
    <row r="278" customFormat="false" ht="15" hidden="false" customHeight="false" outlineLevel="0" collapsed="false">
      <c r="A278" s="0" t="s">
        <v>98</v>
      </c>
      <c r="B278" s="1" t="s">
        <v>14</v>
      </c>
      <c r="C278" s="1" t="s">
        <v>42</v>
      </c>
      <c r="D278" s="0" t="n">
        <v>1403</v>
      </c>
      <c r="E278" s="1" t="s">
        <v>118</v>
      </c>
      <c r="F278" s="0" t="n">
        <f aca="false">SUMIFS(출고!$F$2:$F$1167,출고!$B$2:$B$1167,B278,출고!$C$2:$C$1167,C278)/SUMIFS(출고!$D$2:$D$1167,출고!$B$2:$B$1167,B278,출고!$C$2:$C$1167,C278)</f>
        <v>12244.3541401274</v>
      </c>
      <c r="G278" s="0" t="n">
        <f aca="false">D278*F278</f>
        <v>17178828.8585987</v>
      </c>
      <c r="H278" s="0" t="n">
        <f aca="false">INDEX(마스터!$E:$E,MATCH(C278,마스터!$A:$A,0))</f>
        <v>6730</v>
      </c>
      <c r="I278" s="0" t="n">
        <f aca="false">IF(OR(E278="개정판교체",E278="파본"),0,D278*H278)</f>
        <v>0</v>
      </c>
    </row>
    <row r="279" customFormat="false" ht="15" hidden="false" customHeight="false" outlineLevel="0" collapsed="false">
      <c r="A279" s="0" t="s">
        <v>98</v>
      </c>
      <c r="B279" s="1" t="s">
        <v>14</v>
      </c>
      <c r="C279" s="1" t="s">
        <v>66</v>
      </c>
      <c r="D279" s="0" t="n">
        <v>5921</v>
      </c>
      <c r="E279" s="1" t="s">
        <v>120</v>
      </c>
      <c r="F279" s="0" t="n">
        <f aca="false">SUMIFS(출고!$F$2:$F$1167,출고!$B$2:$B$1167,B279,출고!$C$2:$C$1167,C279)/SUMIFS(출고!$D$2:$D$1167,출고!$B$2:$B$1167,B279,출고!$C$2:$C$1167,C279)</f>
        <v>11929.8916024553</v>
      </c>
      <c r="G279" s="0" t="n">
        <f aca="false">D279*F279</f>
        <v>70636888.1781377</v>
      </c>
      <c r="H279" s="0" t="n">
        <f aca="false">INDEX(마스터!$E:$E,MATCH(C279,마스터!$A:$A,0))</f>
        <v>6360</v>
      </c>
      <c r="I279" s="0" t="n">
        <f aca="false">IF(OR(E279="개정판교체",E279="파본"),0,D279*H279)</f>
        <v>0</v>
      </c>
    </row>
    <row r="280" customFormat="false" ht="15" hidden="false" customHeight="false" outlineLevel="0" collapsed="false">
      <c r="A280" s="0" t="s">
        <v>98</v>
      </c>
      <c r="B280" s="1" t="s">
        <v>14</v>
      </c>
      <c r="C280" s="1" t="s">
        <v>66</v>
      </c>
      <c r="D280" s="0" t="n">
        <v>4429</v>
      </c>
      <c r="E280" s="1" t="s">
        <v>116</v>
      </c>
      <c r="F280" s="0" t="n">
        <f aca="false">SUMIFS(출고!$F$2:$F$1167,출고!$B$2:$B$1167,B280,출고!$C$2:$C$1167,C280)/SUMIFS(출고!$D$2:$D$1167,출고!$B$2:$B$1167,B280,출고!$C$2:$C$1167,C280)</f>
        <v>11929.8916024553</v>
      </c>
      <c r="G280" s="0" t="n">
        <f aca="false">D280*F280</f>
        <v>52837489.9072744</v>
      </c>
      <c r="H280" s="0" t="n">
        <f aca="false">INDEX(마스터!$E:$E,MATCH(C280,마스터!$A:$A,0))</f>
        <v>6360</v>
      </c>
      <c r="I280" s="0" t="n">
        <f aca="false">IF(OR(E280="개정판교체",E280="파본"),0,D280*H280)</f>
        <v>28168440</v>
      </c>
    </row>
    <row r="281" customFormat="false" ht="15" hidden="false" customHeight="false" outlineLevel="0" collapsed="false">
      <c r="A281" s="0" t="s">
        <v>98</v>
      </c>
      <c r="B281" s="1" t="s">
        <v>15</v>
      </c>
      <c r="C281" s="1" t="s">
        <v>77</v>
      </c>
      <c r="D281" s="0" t="n">
        <v>1279</v>
      </c>
      <c r="E281" s="1" t="s">
        <v>118</v>
      </c>
      <c r="F281" s="0" t="n">
        <f aca="false">SUMIFS(출고!$F$2:$F$1167,출고!$B$2:$B$1167,B281,출고!$C$2:$C$1167,C281)/SUMIFS(출고!$D$2:$D$1167,출고!$B$2:$B$1167,B281,출고!$C$2:$C$1167,C281)</f>
        <v>11045.2647554806</v>
      </c>
      <c r="G281" s="0" t="n">
        <f aca="false">D281*F281</f>
        <v>14126893.6222597</v>
      </c>
      <c r="H281" s="0" t="n">
        <f aca="false">INDEX(마스터!$E:$E,MATCH(C281,마스터!$A:$A,0))</f>
        <v>5380</v>
      </c>
      <c r="I281" s="0" t="n">
        <f aca="false">IF(OR(E281="개정판교체",E281="파본"),0,D281*H281)</f>
        <v>0</v>
      </c>
    </row>
    <row r="282" customFormat="false" ht="15" hidden="false" customHeight="false" outlineLevel="0" collapsed="false">
      <c r="A282" s="0" t="s">
        <v>98</v>
      </c>
      <c r="B282" s="1" t="s">
        <v>15</v>
      </c>
      <c r="C282" s="1" t="s">
        <v>42</v>
      </c>
      <c r="D282" s="0" t="n">
        <v>799</v>
      </c>
      <c r="E282" s="1" t="s">
        <v>116</v>
      </c>
      <c r="F282" s="0" t="n">
        <f aca="false">SUMIFS(출고!$F$2:$F$1167,출고!$B$2:$B$1167,B282,출고!$C$2:$C$1167,C282)/SUMIFS(출고!$D$2:$D$1167,출고!$B$2:$B$1167,B282,출고!$C$2:$C$1167,C282)</f>
        <v>12351.9933981295</v>
      </c>
      <c r="G282" s="0" t="n">
        <f aca="false">D282*F282</f>
        <v>9869242.72510545</v>
      </c>
      <c r="H282" s="0" t="n">
        <f aca="false">INDEX(마스터!$E:$E,MATCH(C282,마스터!$A:$A,0))</f>
        <v>6730</v>
      </c>
      <c r="I282" s="0" t="n">
        <f aca="false">IF(OR(E282="개정판교체",E282="파본"),0,D282*H282)</f>
        <v>5377270</v>
      </c>
    </row>
    <row r="283" customFormat="false" ht="15" hidden="false" customHeight="false" outlineLevel="0" collapsed="false">
      <c r="A283" s="0" t="s">
        <v>98</v>
      </c>
      <c r="B283" s="1" t="s">
        <v>15</v>
      </c>
      <c r="C283" s="1" t="s">
        <v>42</v>
      </c>
      <c r="D283" s="0" t="n">
        <v>490</v>
      </c>
      <c r="E283" s="1" t="s">
        <v>118</v>
      </c>
      <c r="F283" s="0" t="n">
        <f aca="false">SUMIFS(출고!$F$2:$F$1167,출고!$B$2:$B$1167,B283,출고!$C$2:$C$1167,C283)/SUMIFS(출고!$D$2:$D$1167,출고!$B$2:$B$1167,B283,출고!$C$2:$C$1167,C283)</f>
        <v>12351.9933981295</v>
      </c>
      <c r="G283" s="0" t="n">
        <f aca="false">D283*F283</f>
        <v>6052476.76508344</v>
      </c>
      <c r="H283" s="0" t="n">
        <f aca="false">INDEX(마스터!$E:$E,MATCH(C283,마스터!$A:$A,0))</f>
        <v>6730</v>
      </c>
      <c r="I283" s="0" t="n">
        <f aca="false">IF(OR(E283="개정판교체",E283="파본"),0,D283*H283)</f>
        <v>0</v>
      </c>
    </row>
    <row r="284" customFormat="false" ht="15" hidden="false" customHeight="false" outlineLevel="0" collapsed="false">
      <c r="A284" s="0" t="s">
        <v>98</v>
      </c>
      <c r="B284" s="1" t="s">
        <v>15</v>
      </c>
      <c r="C284" s="1" t="s">
        <v>66</v>
      </c>
      <c r="D284" s="0" t="n">
        <v>3074</v>
      </c>
      <c r="E284" s="1" t="s">
        <v>120</v>
      </c>
      <c r="F284" s="0" t="n">
        <f aca="false">SUMIFS(출고!$F$2:$F$1167,출고!$B$2:$B$1167,B284,출고!$C$2:$C$1167,C284)/SUMIFS(출고!$D$2:$D$1167,출고!$B$2:$B$1167,B284,출고!$C$2:$C$1167,C284)</f>
        <v>12030.3590777372</v>
      </c>
      <c r="G284" s="0" t="n">
        <f aca="false">D284*F284</f>
        <v>36981323.8049641</v>
      </c>
      <c r="H284" s="0" t="n">
        <f aca="false">INDEX(마스터!$E:$E,MATCH(C284,마스터!$A:$A,0))</f>
        <v>6360</v>
      </c>
      <c r="I284" s="0" t="n">
        <f aca="false">IF(OR(E284="개정판교체",E284="파본"),0,D284*H284)</f>
        <v>0</v>
      </c>
    </row>
    <row r="285" customFormat="false" ht="15" hidden="false" customHeight="false" outlineLevel="0" collapsed="false">
      <c r="A285" s="0" t="s">
        <v>98</v>
      </c>
      <c r="B285" s="1" t="s">
        <v>15</v>
      </c>
      <c r="C285" s="1" t="s">
        <v>66</v>
      </c>
      <c r="D285" s="0" t="n">
        <v>542</v>
      </c>
      <c r="E285" s="1" t="s">
        <v>116</v>
      </c>
      <c r="F285" s="0" t="n">
        <f aca="false">SUMIFS(출고!$F$2:$F$1167,출고!$B$2:$B$1167,B285,출고!$C$2:$C$1167,C285)/SUMIFS(출고!$D$2:$D$1167,출고!$B$2:$B$1167,B285,출고!$C$2:$C$1167,C285)</f>
        <v>12030.3590777372</v>
      </c>
      <c r="G285" s="0" t="n">
        <f aca="false">D285*F285</f>
        <v>6520454.62013355</v>
      </c>
      <c r="H285" s="0" t="n">
        <f aca="false">INDEX(마스터!$E:$E,MATCH(C285,마스터!$A:$A,0))</f>
        <v>6360</v>
      </c>
      <c r="I285" s="0" t="n">
        <f aca="false">IF(OR(E285="개정판교체",E285="파본"),0,D285*H285)</f>
        <v>3447120</v>
      </c>
    </row>
    <row r="286" customFormat="false" ht="15" hidden="false" customHeight="false" outlineLevel="0" collapsed="false">
      <c r="A286" s="0" t="s">
        <v>98</v>
      </c>
      <c r="B286" s="1" t="s">
        <v>16</v>
      </c>
      <c r="C286" s="1" t="s">
        <v>72</v>
      </c>
      <c r="D286" s="0" t="n">
        <v>770</v>
      </c>
      <c r="E286" s="1" t="s">
        <v>117</v>
      </c>
      <c r="F286" s="0" t="n">
        <f aca="false">SUMIFS(출고!$F$2:$F$1167,출고!$B$2:$B$1167,B286,출고!$C$2:$C$1167,C286)/SUMIFS(출고!$D$2:$D$1167,출고!$B$2:$B$1167,B286,출고!$C$2:$C$1167,C286)</f>
        <v>12427.5538730344</v>
      </c>
      <c r="G286" s="0" t="n">
        <f aca="false">D286*F286</f>
        <v>9569216.48223646</v>
      </c>
      <c r="H286" s="0" t="n">
        <f aca="false">INDEX(마스터!$E:$E,MATCH(C286,마스터!$A:$A,0))</f>
        <v>5920</v>
      </c>
      <c r="I286" s="0" t="n">
        <f aca="false">IF(OR(E286="개정판교체",E286="파본"),0,D286*H286)</f>
        <v>4558400</v>
      </c>
    </row>
    <row r="287" customFormat="false" ht="15" hidden="false" customHeight="false" outlineLevel="0" collapsed="false">
      <c r="A287" s="0" t="s">
        <v>98</v>
      </c>
      <c r="B287" s="1" t="s">
        <v>16</v>
      </c>
      <c r="C287" s="1" t="s">
        <v>66</v>
      </c>
      <c r="D287" s="0" t="n">
        <v>1577</v>
      </c>
      <c r="E287" s="1" t="s">
        <v>120</v>
      </c>
      <c r="F287" s="0" t="n">
        <f aca="false">SUMIFS(출고!$F$2:$F$1167,출고!$B$2:$B$1167,B287,출고!$C$2:$C$1167,C287)/SUMIFS(출고!$D$2:$D$1167,출고!$B$2:$B$1167,B287,출고!$C$2:$C$1167,C287)</f>
        <v>13064.43000693</v>
      </c>
      <c r="G287" s="0" t="n">
        <f aca="false">D287*F287</f>
        <v>20602606.1209286</v>
      </c>
      <c r="H287" s="0" t="n">
        <f aca="false">INDEX(마스터!$E:$E,MATCH(C287,마스터!$A:$A,0))</f>
        <v>6360</v>
      </c>
      <c r="I287" s="0" t="n">
        <f aca="false">IF(OR(E287="개정판교체",E287="파본"),0,D287*H287)</f>
        <v>0</v>
      </c>
    </row>
    <row r="288" customFormat="false" ht="15" hidden="false" customHeight="false" outlineLevel="0" collapsed="false">
      <c r="A288" s="0" t="s">
        <v>98</v>
      </c>
      <c r="B288" s="1" t="s">
        <v>16</v>
      </c>
      <c r="C288" s="1" t="s">
        <v>66</v>
      </c>
      <c r="D288" s="0" t="n">
        <v>723</v>
      </c>
      <c r="E288" s="1" t="s">
        <v>116</v>
      </c>
      <c r="F288" s="0" t="n">
        <f aca="false">SUMIFS(출고!$F$2:$F$1167,출고!$B$2:$B$1167,B288,출고!$C$2:$C$1167,C288)/SUMIFS(출고!$D$2:$D$1167,출고!$B$2:$B$1167,B288,출고!$C$2:$C$1167,C288)</f>
        <v>13064.43000693</v>
      </c>
      <c r="G288" s="0" t="n">
        <f aca="false">D288*F288</f>
        <v>9445582.8950104</v>
      </c>
      <c r="H288" s="0" t="n">
        <f aca="false">INDEX(마스터!$E:$E,MATCH(C288,마스터!$A:$A,0))</f>
        <v>6360</v>
      </c>
      <c r="I288" s="0" t="n">
        <f aca="false">IF(OR(E288="개정판교체",E288="파본"),0,D288*H288)</f>
        <v>4598280</v>
      </c>
    </row>
    <row r="289" customFormat="false" ht="15" hidden="false" customHeight="false" outlineLevel="0" collapsed="false">
      <c r="A289" s="0" t="s">
        <v>98</v>
      </c>
      <c r="B289" s="1" t="s">
        <v>17</v>
      </c>
      <c r="C289" s="1" t="s">
        <v>42</v>
      </c>
      <c r="D289" s="0" t="n">
        <v>560</v>
      </c>
      <c r="E289" s="1" t="s">
        <v>116</v>
      </c>
      <c r="F289" s="0" t="n">
        <f aca="false">SUMIFS(출고!$F$2:$F$1167,출고!$B$2:$B$1167,B289,출고!$C$2:$C$1167,C289)/SUMIFS(출고!$D$2:$D$1167,출고!$B$2:$B$1167,B289,출고!$C$2:$C$1167,C289)</f>
        <v>12249.9455732946</v>
      </c>
      <c r="G289" s="0" t="n">
        <f aca="false">D289*F289</f>
        <v>6859969.52104499</v>
      </c>
      <c r="H289" s="0" t="n">
        <f aca="false">INDEX(마스터!$E:$E,MATCH(C289,마스터!$A:$A,0))</f>
        <v>6730</v>
      </c>
      <c r="I289" s="0" t="n">
        <f aca="false">IF(OR(E289="개정판교체",E289="파본"),0,D289*H289)</f>
        <v>3768800</v>
      </c>
    </row>
    <row r="290" customFormat="false" ht="15" hidden="false" customHeight="false" outlineLevel="0" collapsed="false">
      <c r="A290" s="0" t="s">
        <v>98</v>
      </c>
      <c r="B290" s="1" t="s">
        <v>17</v>
      </c>
      <c r="C290" s="1" t="s">
        <v>42</v>
      </c>
      <c r="D290" s="0" t="n">
        <v>561</v>
      </c>
      <c r="E290" s="1" t="s">
        <v>117</v>
      </c>
      <c r="F290" s="0" t="n">
        <f aca="false">SUMIFS(출고!$F$2:$F$1167,출고!$B$2:$B$1167,B290,출고!$C$2:$C$1167,C290)/SUMIFS(출고!$D$2:$D$1167,출고!$B$2:$B$1167,B290,출고!$C$2:$C$1167,C290)</f>
        <v>12249.9455732946</v>
      </c>
      <c r="G290" s="0" t="n">
        <f aca="false">D290*F290</f>
        <v>6872219.46661829</v>
      </c>
      <c r="H290" s="0" t="n">
        <f aca="false">INDEX(마스터!$E:$E,MATCH(C290,마스터!$A:$A,0))</f>
        <v>6730</v>
      </c>
      <c r="I290" s="0" t="n">
        <f aca="false">IF(OR(E290="개정판교체",E290="파본"),0,D290*H290)</f>
        <v>3775530</v>
      </c>
    </row>
    <row r="291" customFormat="false" ht="15" hidden="false" customHeight="false" outlineLevel="0" collapsed="false">
      <c r="A291" s="0" t="s">
        <v>98</v>
      </c>
      <c r="B291" s="1" t="s">
        <v>17</v>
      </c>
      <c r="C291" s="1" t="s">
        <v>42</v>
      </c>
      <c r="D291" s="0" t="n">
        <v>687</v>
      </c>
      <c r="E291" s="1" t="s">
        <v>118</v>
      </c>
      <c r="F291" s="0" t="n">
        <f aca="false">SUMIFS(출고!$F$2:$F$1167,출고!$B$2:$B$1167,B291,출고!$C$2:$C$1167,C291)/SUMIFS(출고!$D$2:$D$1167,출고!$B$2:$B$1167,B291,출고!$C$2:$C$1167,C291)</f>
        <v>12249.9455732946</v>
      </c>
      <c r="G291" s="0" t="n">
        <f aca="false">D291*F291</f>
        <v>8415712.60885341</v>
      </c>
      <c r="H291" s="0" t="n">
        <f aca="false">INDEX(마스터!$E:$E,MATCH(C291,마스터!$A:$A,0))</f>
        <v>6730</v>
      </c>
      <c r="I291" s="0" t="n">
        <f aca="false">IF(OR(E291="개정판교체",E291="파본"),0,D291*H291)</f>
        <v>0</v>
      </c>
    </row>
    <row r="292" customFormat="false" ht="15" hidden="false" customHeight="false" outlineLevel="0" collapsed="false">
      <c r="A292" s="0" t="s">
        <v>98</v>
      </c>
      <c r="B292" s="1" t="s">
        <v>17</v>
      </c>
      <c r="C292" s="1" t="s">
        <v>66</v>
      </c>
      <c r="D292" s="0" t="n">
        <v>1980</v>
      </c>
      <c r="E292" s="1" t="s">
        <v>120</v>
      </c>
      <c r="F292" s="0" t="n">
        <f aca="false">SUMIFS(출고!$F$2:$F$1167,출고!$B$2:$B$1167,B292,출고!$C$2:$C$1167,C292)/SUMIFS(출고!$D$2:$D$1167,출고!$B$2:$B$1167,B292,출고!$C$2:$C$1167,C292)</f>
        <v>11919.7248624312</v>
      </c>
      <c r="G292" s="0" t="n">
        <f aca="false">D292*F292</f>
        <v>23601055.2276138</v>
      </c>
      <c r="H292" s="0" t="n">
        <f aca="false">INDEX(마스터!$E:$E,MATCH(C292,마스터!$A:$A,0))</f>
        <v>6360</v>
      </c>
      <c r="I292" s="0" t="n">
        <f aca="false">IF(OR(E292="개정판교체",E292="파본"),0,D292*H292)</f>
        <v>0</v>
      </c>
    </row>
    <row r="293" customFormat="false" ht="15" hidden="false" customHeight="false" outlineLevel="0" collapsed="false">
      <c r="A293" s="0" t="s">
        <v>98</v>
      </c>
      <c r="B293" s="1" t="s">
        <v>17</v>
      </c>
      <c r="C293" s="1" t="s">
        <v>66</v>
      </c>
      <c r="D293" s="0" t="n">
        <v>349</v>
      </c>
      <c r="E293" s="1" t="s">
        <v>116</v>
      </c>
      <c r="F293" s="0" t="n">
        <f aca="false">SUMIFS(출고!$F$2:$F$1167,출고!$B$2:$B$1167,B293,출고!$C$2:$C$1167,C293)/SUMIFS(출고!$D$2:$D$1167,출고!$B$2:$B$1167,B293,출고!$C$2:$C$1167,C293)</f>
        <v>11919.7248624312</v>
      </c>
      <c r="G293" s="0" t="n">
        <f aca="false">D293*F293</f>
        <v>4159983.97698849</v>
      </c>
      <c r="H293" s="0" t="n">
        <f aca="false">INDEX(마스터!$E:$E,MATCH(C293,마스터!$A:$A,0))</f>
        <v>6360</v>
      </c>
      <c r="I293" s="0" t="n">
        <f aca="false">IF(OR(E293="개정판교체",E293="파본"),0,D293*H293)</f>
        <v>2219640</v>
      </c>
    </row>
    <row r="294" customFormat="false" ht="15" hidden="false" customHeight="false" outlineLevel="0" collapsed="false">
      <c r="A294" s="0" t="s">
        <v>98</v>
      </c>
      <c r="B294" s="1" t="s">
        <v>18</v>
      </c>
      <c r="C294" s="1" t="s">
        <v>58</v>
      </c>
      <c r="D294" s="0" t="n">
        <v>848</v>
      </c>
      <c r="E294" s="1" t="s">
        <v>116</v>
      </c>
      <c r="F294" s="0" t="n">
        <f aca="false">SUMIFS(출고!$F$2:$F$1167,출고!$B$2:$B$1167,B294,출고!$C$2:$C$1167,C294)/SUMIFS(출고!$D$2:$D$1167,출고!$B$2:$B$1167,B294,출고!$C$2:$C$1167,C294)</f>
        <v>12008.6380072318</v>
      </c>
      <c r="G294" s="0" t="n">
        <f aca="false">D294*F294</f>
        <v>10183325.0301326</v>
      </c>
      <c r="H294" s="0" t="n">
        <f aca="false">INDEX(마스터!$E:$E,MATCH(C294,마스터!$A:$A,0))</f>
        <v>5720</v>
      </c>
      <c r="I294" s="0" t="n">
        <f aca="false">IF(OR(E294="개정판교체",E294="파본"),0,D294*H294)</f>
        <v>4850560</v>
      </c>
    </row>
    <row r="295" customFormat="false" ht="15" hidden="false" customHeight="false" outlineLevel="0" collapsed="false">
      <c r="A295" s="0" t="s">
        <v>98</v>
      </c>
      <c r="B295" s="1" t="s">
        <v>19</v>
      </c>
      <c r="C295" s="1" t="s">
        <v>42</v>
      </c>
      <c r="D295" s="0" t="n">
        <v>674</v>
      </c>
      <c r="E295" s="1" t="s">
        <v>117</v>
      </c>
      <c r="F295" s="0" t="n">
        <f aca="false">SUMIFS(출고!$F$2:$F$1167,출고!$B$2:$B$1167,B295,출고!$C$2:$C$1167,C295)/SUMIFS(출고!$D$2:$D$1167,출고!$B$2:$B$1167,B295,출고!$C$2:$C$1167,C295)</f>
        <v>12320.7000946074</v>
      </c>
      <c r="G295" s="0" t="n">
        <f aca="false">D295*F295</f>
        <v>8304151.86376537</v>
      </c>
      <c r="H295" s="0" t="n">
        <f aca="false">INDEX(마스터!$E:$E,MATCH(C295,마스터!$A:$A,0))</f>
        <v>6730</v>
      </c>
      <c r="I295" s="0" t="n">
        <f aca="false">IF(OR(E295="개정판교체",E295="파본"),0,D295*H295)</f>
        <v>4536020</v>
      </c>
    </row>
    <row r="296" customFormat="false" ht="15" hidden="false" customHeight="false" outlineLevel="0" collapsed="false">
      <c r="A296" s="0" t="s">
        <v>98</v>
      </c>
      <c r="B296" s="1" t="s">
        <v>19</v>
      </c>
      <c r="C296" s="1" t="s">
        <v>42</v>
      </c>
      <c r="D296" s="0" t="n">
        <v>413</v>
      </c>
      <c r="E296" s="1" t="s">
        <v>118</v>
      </c>
      <c r="F296" s="0" t="n">
        <f aca="false">SUMIFS(출고!$F$2:$F$1167,출고!$B$2:$B$1167,B296,출고!$C$2:$C$1167,C296)/SUMIFS(출고!$D$2:$D$1167,출고!$B$2:$B$1167,B296,출고!$C$2:$C$1167,C296)</f>
        <v>12320.7000946074</v>
      </c>
      <c r="G296" s="0" t="n">
        <f aca="false">D296*F296</f>
        <v>5088449.13907285</v>
      </c>
      <c r="H296" s="0" t="n">
        <f aca="false">INDEX(마스터!$E:$E,MATCH(C296,마스터!$A:$A,0))</f>
        <v>6730</v>
      </c>
      <c r="I296" s="0" t="n">
        <f aca="false">IF(OR(E296="개정판교체",E296="파본"),0,D296*H296)</f>
        <v>0</v>
      </c>
    </row>
    <row r="297" customFormat="false" ht="15" hidden="false" customHeight="false" outlineLevel="0" collapsed="false">
      <c r="A297" s="0" t="s">
        <v>98</v>
      </c>
      <c r="B297" s="1" t="s">
        <v>19</v>
      </c>
      <c r="C297" s="1" t="s">
        <v>66</v>
      </c>
      <c r="D297" s="0" t="n">
        <v>1022</v>
      </c>
      <c r="E297" s="1" t="s">
        <v>120</v>
      </c>
      <c r="F297" s="0" t="n">
        <f aca="false">SUMIFS(출고!$F$2:$F$1167,출고!$B$2:$B$1167,B297,출고!$C$2:$C$1167,C297)/SUMIFS(출고!$D$2:$D$1167,출고!$B$2:$B$1167,B297,출고!$C$2:$C$1167,C297)</f>
        <v>11993.6223404255</v>
      </c>
      <c r="G297" s="0" t="n">
        <f aca="false">D297*F297</f>
        <v>12257482.0319149</v>
      </c>
      <c r="H297" s="0" t="n">
        <f aca="false">INDEX(마스터!$E:$E,MATCH(C297,마스터!$A:$A,0))</f>
        <v>6360</v>
      </c>
      <c r="I297" s="0" t="n">
        <f aca="false">IF(OR(E297="개정판교체",E297="파본"),0,D297*H297)</f>
        <v>0</v>
      </c>
    </row>
    <row r="298" customFormat="false" ht="15" hidden="false" customHeight="false" outlineLevel="0" collapsed="false">
      <c r="A298" s="0" t="s">
        <v>98</v>
      </c>
      <c r="B298" s="1" t="s">
        <v>20</v>
      </c>
      <c r="C298" s="1" t="s">
        <v>53</v>
      </c>
      <c r="D298" s="0" t="n">
        <v>933</v>
      </c>
      <c r="E298" s="1" t="s">
        <v>117</v>
      </c>
      <c r="F298" s="0" t="n">
        <f aca="false">SUMIFS(출고!$F$2:$F$1167,출고!$B$2:$B$1167,B298,출고!$C$2:$C$1167,C298)/SUMIFS(출고!$D$2:$D$1167,출고!$B$2:$B$1167,B298,출고!$C$2:$C$1167,C298)</f>
        <v>13799.321192053</v>
      </c>
      <c r="G298" s="0" t="n">
        <f aca="false">D298*F298</f>
        <v>12874766.6721854</v>
      </c>
      <c r="H298" s="0" t="n">
        <f aca="false">INDEX(마스터!$E:$E,MATCH(C298,마스터!$A:$A,0))</f>
        <v>6630</v>
      </c>
      <c r="I298" s="0" t="n">
        <f aca="false">IF(OR(E298="개정판교체",E298="파본"),0,D298*H298)</f>
        <v>6185790</v>
      </c>
    </row>
    <row r="299" customFormat="false" ht="15" hidden="false" customHeight="false" outlineLevel="0" collapsed="false">
      <c r="A299" s="0" t="s">
        <v>98</v>
      </c>
      <c r="B299" s="1" t="s">
        <v>21</v>
      </c>
      <c r="C299" s="1" t="s">
        <v>54</v>
      </c>
      <c r="D299" s="0" t="n">
        <v>554</v>
      </c>
      <c r="E299" s="1" t="s">
        <v>116</v>
      </c>
      <c r="F299" s="0" t="n">
        <f aca="false">SUMIFS(출고!$F$2:$F$1167,출고!$B$2:$B$1167,B299,출고!$C$2:$C$1167,C299)/SUMIFS(출고!$D$2:$D$1167,출고!$B$2:$B$1167,B299,출고!$C$2:$C$1167,C299)</f>
        <v>13298.8042991491</v>
      </c>
      <c r="G299" s="0" t="n">
        <f aca="false">D299*F299</f>
        <v>7367537.58172862</v>
      </c>
      <c r="H299" s="0" t="n">
        <f aca="false">INDEX(마스터!$E:$E,MATCH(C299,마스터!$A:$A,0))</f>
        <v>6790</v>
      </c>
      <c r="I299" s="0" t="n">
        <f aca="false">IF(OR(E299="개정판교체",E299="파본"),0,D299*H299)</f>
        <v>3761660</v>
      </c>
    </row>
    <row r="300" customFormat="false" ht="15" hidden="false" customHeight="false" outlineLevel="0" collapsed="false">
      <c r="A300" s="0" t="s">
        <v>98</v>
      </c>
      <c r="B300" s="1" t="s">
        <v>21</v>
      </c>
      <c r="C300" s="1" t="s">
        <v>54</v>
      </c>
      <c r="D300" s="0" t="n">
        <v>312</v>
      </c>
      <c r="E300" s="1" t="s">
        <v>118</v>
      </c>
      <c r="F300" s="0" t="n">
        <f aca="false">SUMIFS(출고!$F$2:$F$1167,출고!$B$2:$B$1167,B300,출고!$C$2:$C$1167,C300)/SUMIFS(출고!$D$2:$D$1167,출고!$B$2:$B$1167,B300,출고!$C$2:$C$1167,C300)</f>
        <v>13298.8042991491</v>
      </c>
      <c r="G300" s="0" t="n">
        <f aca="false">D300*F300</f>
        <v>4149226.94133453</v>
      </c>
      <c r="H300" s="0" t="n">
        <f aca="false">INDEX(마스터!$E:$E,MATCH(C300,마스터!$A:$A,0))</f>
        <v>6790</v>
      </c>
      <c r="I300" s="0" t="n">
        <f aca="false">IF(OR(E300="개정판교체",E300="파본"),0,D300*H300)</f>
        <v>0</v>
      </c>
    </row>
    <row r="301" customFormat="false" ht="15" hidden="false" customHeight="false" outlineLevel="0" collapsed="false">
      <c r="A301" s="0" t="s">
        <v>98</v>
      </c>
      <c r="B301" s="1" t="s">
        <v>21</v>
      </c>
      <c r="C301" s="1" t="s">
        <v>56</v>
      </c>
      <c r="D301" s="0" t="n">
        <v>859</v>
      </c>
      <c r="E301" s="1" t="s">
        <v>117</v>
      </c>
      <c r="F301" s="0" t="n">
        <f aca="false">SUMIFS(출고!$F$2:$F$1167,출고!$B$2:$B$1167,B301,출고!$C$2:$C$1167,C301)/SUMIFS(출고!$D$2:$D$1167,출고!$B$2:$B$1167,B301,출고!$C$2:$C$1167,C301)</f>
        <v>10851.4454806313</v>
      </c>
      <c r="G301" s="0" t="n">
        <f aca="false">D301*F301</f>
        <v>9321391.66786227</v>
      </c>
      <c r="H301" s="0" t="n">
        <f aca="false">INDEX(마스터!$E:$E,MATCH(C301,마스터!$A:$A,0))</f>
        <v>5470</v>
      </c>
      <c r="I301" s="0" t="n">
        <f aca="false">IF(OR(E301="개정판교체",E301="파본"),0,D301*H301)</f>
        <v>4698730</v>
      </c>
    </row>
    <row r="302" customFormat="false" ht="15" hidden="false" customHeight="false" outlineLevel="0" collapsed="false">
      <c r="A302" s="0" t="s">
        <v>98</v>
      </c>
      <c r="B302" s="1" t="s">
        <v>22</v>
      </c>
      <c r="C302" s="1" t="s">
        <v>42</v>
      </c>
      <c r="D302" s="0" t="n">
        <v>729</v>
      </c>
      <c r="E302" s="1" t="s">
        <v>116</v>
      </c>
      <c r="F302" s="0" t="n">
        <f aca="false">SUMIFS(출고!$F$2:$F$1167,출고!$B$2:$B$1167,B302,출고!$C$2:$C$1167,C302)/SUMIFS(출고!$D$2:$D$1167,출고!$B$2:$B$1167,B302,출고!$C$2:$C$1167,C302)</f>
        <v>13347.9758011772</v>
      </c>
      <c r="G302" s="0" t="n">
        <f aca="false">D302*F302</f>
        <v>9730674.35905821</v>
      </c>
      <c r="H302" s="0" t="n">
        <f aca="false">INDEX(마스터!$E:$E,MATCH(C302,마스터!$A:$A,0))</f>
        <v>6730</v>
      </c>
      <c r="I302" s="0" t="n">
        <f aca="false">IF(OR(E302="개정판교체",E302="파본"),0,D302*H302)</f>
        <v>4906170</v>
      </c>
    </row>
    <row r="303" customFormat="false" ht="15" hidden="false" customHeight="false" outlineLevel="0" collapsed="false">
      <c r="A303" s="0" t="s">
        <v>98</v>
      </c>
      <c r="B303" s="1" t="s">
        <v>22</v>
      </c>
      <c r="C303" s="1" t="s">
        <v>42</v>
      </c>
      <c r="D303" s="0" t="n">
        <v>446</v>
      </c>
      <c r="E303" s="1" t="s">
        <v>118</v>
      </c>
      <c r="F303" s="0" t="n">
        <f aca="false">SUMIFS(출고!$F$2:$F$1167,출고!$B$2:$B$1167,B303,출고!$C$2:$C$1167,C303)/SUMIFS(출고!$D$2:$D$1167,출고!$B$2:$B$1167,B303,출고!$C$2:$C$1167,C303)</f>
        <v>13347.9758011772</v>
      </c>
      <c r="G303" s="0" t="n">
        <f aca="false">D303*F303</f>
        <v>5953197.20732505</v>
      </c>
      <c r="H303" s="0" t="n">
        <f aca="false">INDEX(마스터!$E:$E,MATCH(C303,마스터!$A:$A,0))</f>
        <v>6730</v>
      </c>
      <c r="I303" s="0" t="n">
        <f aca="false">IF(OR(E303="개정판교체",E303="파본"),0,D303*H303)</f>
        <v>0</v>
      </c>
    </row>
    <row r="304" customFormat="false" ht="15" hidden="false" customHeight="false" outlineLevel="0" collapsed="false">
      <c r="A304" s="0" t="s">
        <v>98</v>
      </c>
      <c r="B304" s="1" t="s">
        <v>23</v>
      </c>
      <c r="C304" s="1" t="s">
        <v>66</v>
      </c>
      <c r="D304" s="0" t="n">
        <v>1014</v>
      </c>
      <c r="E304" s="1" t="s">
        <v>116</v>
      </c>
      <c r="F304" s="0" t="n">
        <f aca="false">SUMIFS(출고!$F$2:$F$1167,출고!$B$2:$B$1167,B304,출고!$C$2:$C$1167,C304)/SUMIFS(출고!$D$2:$D$1167,출고!$B$2:$B$1167,B304,출고!$C$2:$C$1167,C304)</f>
        <v>12916.9945355191</v>
      </c>
      <c r="G304" s="0" t="n">
        <f aca="false">D304*F304</f>
        <v>13097832.4590164</v>
      </c>
      <c r="H304" s="0" t="n">
        <f aca="false">INDEX(마스터!$E:$E,MATCH(C304,마스터!$A:$A,0))</f>
        <v>6360</v>
      </c>
      <c r="I304" s="0" t="n">
        <f aca="false">IF(OR(E304="개정판교체",E304="파본"),0,D304*H304)</f>
        <v>6449040</v>
      </c>
    </row>
    <row r="305" customFormat="false" ht="15" hidden="false" customHeight="false" outlineLevel="0" collapsed="false">
      <c r="A305" s="0" t="s">
        <v>98</v>
      </c>
      <c r="B305" s="1" t="s">
        <v>25</v>
      </c>
      <c r="C305" s="1" t="s">
        <v>37</v>
      </c>
      <c r="D305" s="0" t="n">
        <v>601</v>
      </c>
      <c r="E305" s="1" t="s">
        <v>116</v>
      </c>
      <c r="F305" s="0" t="n">
        <f aca="false">SUMIFS(출고!$F$2:$F$1167,출고!$B$2:$B$1167,B305,출고!$C$2:$C$1167,C305)/SUMIFS(출고!$D$2:$D$1167,출고!$B$2:$B$1167,B305,출고!$C$2:$C$1167,C305)</f>
        <v>10496.6887661142</v>
      </c>
      <c r="G305" s="0" t="n">
        <f aca="false">D305*F305</f>
        <v>6308509.94843462</v>
      </c>
      <c r="H305" s="0" t="n">
        <f aca="false">INDEX(마스터!$E:$E,MATCH(C305,마스터!$A:$A,0))</f>
        <v>4900</v>
      </c>
      <c r="I305" s="0" t="n">
        <f aca="false">IF(OR(E305="개정판교체",E305="파본"),0,D305*H305)</f>
        <v>2944900</v>
      </c>
    </row>
    <row r="306" customFormat="false" ht="15" hidden="false" customHeight="false" outlineLevel="0" collapsed="false">
      <c r="A306" s="0" t="s">
        <v>98</v>
      </c>
      <c r="B306" s="1" t="s">
        <v>24</v>
      </c>
      <c r="C306" s="1" t="s">
        <v>60</v>
      </c>
      <c r="D306" s="0" t="n">
        <v>651</v>
      </c>
      <c r="E306" s="1" t="s">
        <v>116</v>
      </c>
      <c r="F306" s="0" t="n">
        <f aca="false">SUMIFS(출고!$F$2:$F$1167,출고!$B$2:$B$1167,B306,출고!$C$2:$C$1167,C306)/SUMIFS(출고!$D$2:$D$1167,출고!$B$2:$B$1167,B306,출고!$C$2:$C$1167,C306)</f>
        <v>13665.5523964257</v>
      </c>
      <c r="G306" s="0" t="n">
        <f aca="false">D306*F306</f>
        <v>8896274.61007311</v>
      </c>
      <c r="H306" s="0" t="n">
        <f aca="false">INDEX(마스터!$E:$E,MATCH(C306,마스터!$A:$A,0))</f>
        <v>6980</v>
      </c>
      <c r="I306" s="0" t="n">
        <f aca="false">IF(OR(E306="개정판교체",E306="파본"),0,D306*H306)</f>
        <v>4543980</v>
      </c>
    </row>
    <row r="307" customFormat="false" ht="15" hidden="false" customHeight="false" outlineLevel="0" collapsed="false">
      <c r="A307" s="0" t="s">
        <v>101</v>
      </c>
      <c r="B307" s="1" t="s">
        <v>14</v>
      </c>
      <c r="C307" s="1" t="s">
        <v>41</v>
      </c>
      <c r="D307" s="0" t="n">
        <v>3698</v>
      </c>
      <c r="E307" s="1" t="s">
        <v>117</v>
      </c>
      <c r="F307" s="0" t="n">
        <f aca="false">SUMIFS(출고!$F$2:$F$1167,출고!$B$2:$B$1167,B307,출고!$C$2:$C$1167,C307)/SUMIFS(출고!$D$2:$D$1167,출고!$B$2:$B$1167,B307,출고!$C$2:$C$1167,C307)</f>
        <v>10967.1647780925</v>
      </c>
      <c r="G307" s="0" t="n">
        <f aca="false">D307*F307</f>
        <v>40556575.3493862</v>
      </c>
      <c r="H307" s="0" t="n">
        <f aca="false">INDEX(마스터!$E:$E,MATCH(C307,마스터!$A:$A,0))</f>
        <v>5480</v>
      </c>
      <c r="I307" s="0" t="n">
        <f aca="false">IF(OR(E307="개정판교체",E307="파본"),0,D307*H307)</f>
        <v>20265040</v>
      </c>
    </row>
    <row r="308" customFormat="false" ht="15" hidden="false" customHeight="false" outlineLevel="0" collapsed="false">
      <c r="A308" s="0" t="s">
        <v>101</v>
      </c>
      <c r="B308" s="1" t="s">
        <v>14</v>
      </c>
      <c r="C308" s="1" t="s">
        <v>66</v>
      </c>
      <c r="D308" s="0" t="n">
        <v>5182</v>
      </c>
      <c r="E308" s="1" t="s">
        <v>120</v>
      </c>
      <c r="F308" s="0" t="n">
        <f aca="false">SUMIFS(출고!$F$2:$F$1167,출고!$B$2:$B$1167,B308,출고!$C$2:$C$1167,C308)/SUMIFS(출고!$D$2:$D$1167,출고!$B$2:$B$1167,B308,출고!$C$2:$C$1167,C308)</f>
        <v>11929.8916024553</v>
      </c>
      <c r="G308" s="0" t="n">
        <f aca="false">D308*F308</f>
        <v>61820698.2839232</v>
      </c>
      <c r="H308" s="0" t="n">
        <f aca="false">INDEX(마스터!$E:$E,MATCH(C308,마스터!$A:$A,0))</f>
        <v>6360</v>
      </c>
      <c r="I308" s="0" t="n">
        <f aca="false">IF(OR(E308="개정판교체",E308="파본"),0,D308*H308)</f>
        <v>0</v>
      </c>
    </row>
    <row r="309" customFormat="false" ht="15" hidden="false" customHeight="false" outlineLevel="0" collapsed="false">
      <c r="A309" s="0" t="s">
        <v>101</v>
      </c>
      <c r="B309" s="1" t="s">
        <v>14</v>
      </c>
      <c r="C309" s="1" t="s">
        <v>66</v>
      </c>
      <c r="D309" s="0" t="n">
        <v>914</v>
      </c>
      <c r="E309" s="1" t="s">
        <v>116</v>
      </c>
      <c r="F309" s="0" t="n">
        <f aca="false">SUMIFS(출고!$F$2:$F$1167,출고!$B$2:$B$1167,B309,출고!$C$2:$C$1167,C309)/SUMIFS(출고!$D$2:$D$1167,출고!$B$2:$B$1167,B309,출고!$C$2:$C$1167,C309)</f>
        <v>11929.8916024553</v>
      </c>
      <c r="G309" s="0" t="n">
        <f aca="false">D309*F309</f>
        <v>10903920.9246441</v>
      </c>
      <c r="H309" s="0" t="n">
        <f aca="false">INDEX(마스터!$E:$E,MATCH(C309,마스터!$A:$A,0))</f>
        <v>6360</v>
      </c>
      <c r="I309" s="0" t="n">
        <f aca="false">IF(OR(E309="개정판교체",E309="파본"),0,D309*H309)</f>
        <v>5813040</v>
      </c>
    </row>
    <row r="310" customFormat="false" ht="15" hidden="false" customHeight="false" outlineLevel="0" collapsed="false">
      <c r="A310" s="0" t="s">
        <v>101</v>
      </c>
      <c r="B310" s="1" t="s">
        <v>14</v>
      </c>
      <c r="C310" s="1" t="s">
        <v>44</v>
      </c>
      <c r="D310" s="0" t="n">
        <v>3670</v>
      </c>
      <c r="E310" s="1" t="s">
        <v>116</v>
      </c>
      <c r="F310" s="0" t="n">
        <f aca="false">SUMIFS(출고!$F$2:$F$1167,출고!$B$2:$B$1167,B310,출고!$C$2:$C$1167,C310)/SUMIFS(출고!$D$2:$D$1167,출고!$B$2:$B$1167,B310,출고!$C$2:$C$1167,C310)</f>
        <v>10956.5173836182</v>
      </c>
      <c r="G310" s="0" t="n">
        <f aca="false">D310*F310</f>
        <v>40210418.7978786</v>
      </c>
      <c r="H310" s="0" t="n">
        <f aca="false">INDEX(마스터!$E:$E,MATCH(C310,마스터!$A:$A,0))</f>
        <v>5500</v>
      </c>
      <c r="I310" s="0" t="n">
        <f aca="false">IF(OR(E310="개정판교체",E310="파본"),0,D310*H310)</f>
        <v>20185000</v>
      </c>
    </row>
    <row r="311" customFormat="false" ht="15" hidden="false" customHeight="false" outlineLevel="0" collapsed="false">
      <c r="A311" s="0" t="s">
        <v>101</v>
      </c>
      <c r="B311" s="1" t="s">
        <v>14</v>
      </c>
      <c r="C311" s="1" t="s">
        <v>47</v>
      </c>
      <c r="D311" s="0" t="n">
        <v>3856</v>
      </c>
      <c r="E311" s="1" t="s">
        <v>116</v>
      </c>
      <c r="F311" s="0" t="n">
        <f aca="false">SUMIFS(출고!$F$2:$F$1167,출고!$B$2:$B$1167,B311,출고!$C$2:$C$1167,C311)/SUMIFS(출고!$D$2:$D$1167,출고!$B$2:$B$1167,B311,출고!$C$2:$C$1167,C311)</f>
        <v>8382.27260602828</v>
      </c>
      <c r="G311" s="0" t="n">
        <f aca="false">D311*F311</f>
        <v>32322043.168845</v>
      </c>
      <c r="H311" s="0" t="n">
        <f aca="false">INDEX(마스터!$E:$E,MATCH(C311,마스터!$A:$A,0))</f>
        <v>4170</v>
      </c>
      <c r="I311" s="0" t="n">
        <f aca="false">IF(OR(E311="개정판교체",E311="파본"),0,D311*H311)</f>
        <v>16079520</v>
      </c>
    </row>
    <row r="312" customFormat="false" ht="15" hidden="false" customHeight="false" outlineLevel="0" collapsed="false">
      <c r="A312" s="0" t="s">
        <v>101</v>
      </c>
      <c r="B312" s="1" t="s">
        <v>15</v>
      </c>
      <c r="C312" s="1" t="s">
        <v>66</v>
      </c>
      <c r="D312" s="0" t="n">
        <v>2689</v>
      </c>
      <c r="E312" s="1" t="s">
        <v>120</v>
      </c>
      <c r="F312" s="0" t="n">
        <f aca="false">SUMIFS(출고!$F$2:$F$1167,출고!$B$2:$B$1167,B312,출고!$C$2:$C$1167,C312)/SUMIFS(출고!$D$2:$D$1167,출고!$B$2:$B$1167,B312,출고!$C$2:$C$1167,C312)</f>
        <v>12030.3590777372</v>
      </c>
      <c r="G312" s="0" t="n">
        <f aca="false">D312*F312</f>
        <v>32349635.5600353</v>
      </c>
      <c r="H312" s="0" t="n">
        <f aca="false">INDEX(마스터!$E:$E,MATCH(C312,마스터!$A:$A,0))</f>
        <v>6360</v>
      </c>
      <c r="I312" s="0" t="n">
        <f aca="false">IF(OR(E312="개정판교체",E312="파본"),0,D312*H312)</f>
        <v>0</v>
      </c>
    </row>
    <row r="313" customFormat="false" ht="15" hidden="false" customHeight="false" outlineLevel="0" collapsed="false">
      <c r="A313" s="0" t="s">
        <v>101</v>
      </c>
      <c r="B313" s="1" t="s">
        <v>15</v>
      </c>
      <c r="C313" s="1" t="s">
        <v>66</v>
      </c>
      <c r="D313" s="0" t="n">
        <v>475</v>
      </c>
      <c r="E313" s="1" t="s">
        <v>116</v>
      </c>
      <c r="F313" s="0" t="n">
        <f aca="false">SUMIFS(출고!$F$2:$F$1167,출고!$B$2:$B$1167,B313,출고!$C$2:$C$1167,C313)/SUMIFS(출고!$D$2:$D$1167,출고!$B$2:$B$1167,B313,출고!$C$2:$C$1167,C313)</f>
        <v>12030.3590777372</v>
      </c>
      <c r="G313" s="0" t="n">
        <f aca="false">D313*F313</f>
        <v>5714420.56192516</v>
      </c>
      <c r="H313" s="0" t="n">
        <f aca="false">INDEX(마스터!$E:$E,MATCH(C313,마스터!$A:$A,0))</f>
        <v>6360</v>
      </c>
      <c r="I313" s="0" t="n">
        <f aca="false">IF(OR(E313="개정판교체",E313="파본"),0,D313*H313)</f>
        <v>3021000</v>
      </c>
    </row>
    <row r="314" customFormat="false" ht="15" hidden="false" customHeight="false" outlineLevel="0" collapsed="false">
      <c r="A314" s="0" t="s">
        <v>101</v>
      </c>
      <c r="B314" s="1" t="s">
        <v>15</v>
      </c>
      <c r="C314" s="1" t="s">
        <v>36</v>
      </c>
      <c r="D314" s="0" t="n">
        <v>955</v>
      </c>
      <c r="E314" s="1" t="s">
        <v>117</v>
      </c>
      <c r="F314" s="0" t="n">
        <f aca="false">SUMIFS(출고!$F$2:$F$1167,출고!$B$2:$B$1167,B314,출고!$C$2:$C$1167,C314)/SUMIFS(출고!$D$2:$D$1167,출고!$B$2:$B$1167,B314,출고!$C$2:$C$1167,C314)</f>
        <v>9416.75105485232</v>
      </c>
      <c r="G314" s="0" t="n">
        <f aca="false">D314*F314</f>
        <v>8992997.25738397</v>
      </c>
      <c r="H314" s="0" t="n">
        <f aca="false">INDEX(마스터!$E:$E,MATCH(C314,마스터!$A:$A,0))</f>
        <v>4540</v>
      </c>
      <c r="I314" s="0" t="n">
        <f aca="false">IF(OR(E314="개정판교체",E314="파본"),0,D314*H314)</f>
        <v>4335700</v>
      </c>
    </row>
    <row r="315" customFormat="false" ht="15" hidden="false" customHeight="false" outlineLevel="0" collapsed="false">
      <c r="A315" s="0" t="s">
        <v>101</v>
      </c>
      <c r="B315" s="1" t="s">
        <v>15</v>
      </c>
      <c r="C315" s="1" t="s">
        <v>47</v>
      </c>
      <c r="D315" s="0" t="n">
        <v>1515</v>
      </c>
      <c r="E315" s="1" t="s">
        <v>117</v>
      </c>
      <c r="F315" s="0" t="n">
        <f aca="false">SUMIFS(출고!$F$2:$F$1167,출고!$B$2:$B$1167,B315,출고!$C$2:$C$1167,C315)/SUMIFS(출고!$D$2:$D$1167,출고!$B$2:$B$1167,B315,출고!$C$2:$C$1167,C315)</f>
        <v>8455.46315291147</v>
      </c>
      <c r="G315" s="0" t="n">
        <f aca="false">D315*F315</f>
        <v>12810026.6766609</v>
      </c>
      <c r="H315" s="0" t="n">
        <f aca="false">INDEX(마스터!$E:$E,MATCH(C315,마스터!$A:$A,0))</f>
        <v>4170</v>
      </c>
      <c r="I315" s="0" t="n">
        <f aca="false">IF(OR(E315="개정판교체",E315="파본"),0,D315*H315)</f>
        <v>6317550</v>
      </c>
    </row>
    <row r="316" customFormat="false" ht="15" hidden="false" customHeight="false" outlineLevel="0" collapsed="false">
      <c r="A316" s="0" t="s">
        <v>101</v>
      </c>
      <c r="B316" s="1" t="s">
        <v>16</v>
      </c>
      <c r="C316" s="1" t="s">
        <v>33</v>
      </c>
      <c r="D316" s="0" t="n">
        <v>665</v>
      </c>
      <c r="E316" s="1" t="s">
        <v>117</v>
      </c>
      <c r="F316" s="0" t="n">
        <f aca="false">SUMIFS(출고!$F$2:$F$1167,출고!$B$2:$B$1167,B316,출고!$C$2:$C$1167,C316)/SUMIFS(출고!$D$2:$D$1167,출고!$B$2:$B$1167,B316,출고!$C$2:$C$1167,C316)</f>
        <v>13394.2201834862</v>
      </c>
      <c r="G316" s="0" t="n">
        <f aca="false">D316*F316</f>
        <v>8907156.42201835</v>
      </c>
      <c r="H316" s="0" t="n">
        <f aca="false">INDEX(마스터!$E:$E,MATCH(C316,마스터!$A:$A,0))</f>
        <v>6790</v>
      </c>
      <c r="I316" s="0" t="n">
        <f aca="false">IF(OR(E316="개정판교체",E316="파본"),0,D316*H316)</f>
        <v>4515350</v>
      </c>
    </row>
    <row r="317" customFormat="false" ht="15" hidden="false" customHeight="false" outlineLevel="0" collapsed="false">
      <c r="A317" s="0" t="s">
        <v>101</v>
      </c>
      <c r="B317" s="1" t="s">
        <v>16</v>
      </c>
      <c r="C317" s="1" t="s">
        <v>66</v>
      </c>
      <c r="D317" s="0" t="n">
        <v>1380</v>
      </c>
      <c r="E317" s="1" t="s">
        <v>120</v>
      </c>
      <c r="F317" s="0" t="n">
        <f aca="false">SUMIFS(출고!$F$2:$F$1167,출고!$B$2:$B$1167,B317,출고!$C$2:$C$1167,C317)/SUMIFS(출고!$D$2:$D$1167,출고!$B$2:$B$1167,B317,출고!$C$2:$C$1167,C317)</f>
        <v>13064.43000693</v>
      </c>
      <c r="G317" s="0" t="n">
        <f aca="false">D317*F317</f>
        <v>18028913.4095634</v>
      </c>
      <c r="H317" s="0" t="n">
        <f aca="false">INDEX(마스터!$E:$E,MATCH(C317,마스터!$A:$A,0))</f>
        <v>6360</v>
      </c>
      <c r="I317" s="0" t="n">
        <f aca="false">IF(OR(E317="개정판교체",E317="파본"),0,D317*H317)</f>
        <v>0</v>
      </c>
    </row>
    <row r="318" customFormat="false" ht="15" hidden="false" customHeight="false" outlineLevel="0" collapsed="false">
      <c r="A318" s="0" t="s">
        <v>101</v>
      </c>
      <c r="B318" s="1" t="s">
        <v>16</v>
      </c>
      <c r="C318" s="1" t="s">
        <v>66</v>
      </c>
      <c r="D318" s="0" t="n">
        <v>865</v>
      </c>
      <c r="E318" s="1" t="s">
        <v>116</v>
      </c>
      <c r="F318" s="0" t="n">
        <f aca="false">SUMIFS(출고!$F$2:$F$1167,출고!$B$2:$B$1167,B318,출고!$C$2:$C$1167,C318)/SUMIFS(출고!$D$2:$D$1167,출고!$B$2:$B$1167,B318,출고!$C$2:$C$1167,C318)</f>
        <v>13064.43000693</v>
      </c>
      <c r="G318" s="0" t="n">
        <f aca="false">D318*F318</f>
        <v>11300731.9559945</v>
      </c>
      <c r="H318" s="0" t="n">
        <f aca="false">INDEX(마스터!$E:$E,MATCH(C318,마스터!$A:$A,0))</f>
        <v>6360</v>
      </c>
      <c r="I318" s="0" t="n">
        <f aca="false">IF(OR(E318="개정판교체",E318="파본"),0,D318*H318)</f>
        <v>5501400</v>
      </c>
    </row>
    <row r="319" customFormat="false" ht="15" hidden="false" customHeight="false" outlineLevel="0" collapsed="false">
      <c r="A319" s="0" t="s">
        <v>101</v>
      </c>
      <c r="B319" s="1" t="s">
        <v>17</v>
      </c>
      <c r="C319" s="1" t="s">
        <v>66</v>
      </c>
      <c r="D319" s="0" t="n">
        <v>1732</v>
      </c>
      <c r="E319" s="1" t="s">
        <v>120</v>
      </c>
      <c r="F319" s="0" t="n">
        <f aca="false">SUMIFS(출고!$F$2:$F$1167,출고!$B$2:$B$1167,B319,출고!$C$2:$C$1167,C319)/SUMIFS(출고!$D$2:$D$1167,출고!$B$2:$B$1167,B319,출고!$C$2:$C$1167,C319)</f>
        <v>11919.7248624312</v>
      </c>
      <c r="G319" s="0" t="n">
        <f aca="false">D319*F319</f>
        <v>20644963.4617309</v>
      </c>
      <c r="H319" s="0" t="n">
        <f aca="false">INDEX(마스터!$E:$E,MATCH(C319,마스터!$A:$A,0))</f>
        <v>6360</v>
      </c>
      <c r="I319" s="0" t="n">
        <f aca="false">IF(OR(E319="개정판교체",E319="파본"),0,D319*H319)</f>
        <v>0</v>
      </c>
    </row>
    <row r="320" customFormat="false" ht="15" hidden="false" customHeight="false" outlineLevel="0" collapsed="false">
      <c r="A320" s="0" t="s">
        <v>101</v>
      </c>
      <c r="B320" s="1" t="s">
        <v>17</v>
      </c>
      <c r="C320" s="1" t="s">
        <v>66</v>
      </c>
      <c r="D320" s="0" t="n">
        <v>306</v>
      </c>
      <c r="E320" s="1" t="s">
        <v>116</v>
      </c>
      <c r="F320" s="0" t="n">
        <f aca="false">SUMIFS(출고!$F$2:$F$1167,출고!$B$2:$B$1167,B320,출고!$C$2:$C$1167,C320)/SUMIFS(출고!$D$2:$D$1167,출고!$B$2:$B$1167,B320,출고!$C$2:$C$1167,C320)</f>
        <v>11919.7248624312</v>
      </c>
      <c r="G320" s="0" t="n">
        <f aca="false">D320*F320</f>
        <v>3647435.80790395</v>
      </c>
      <c r="H320" s="0" t="n">
        <f aca="false">INDEX(마스터!$E:$E,MATCH(C320,마스터!$A:$A,0))</f>
        <v>6360</v>
      </c>
      <c r="I320" s="0" t="n">
        <f aca="false">IF(OR(E320="개정판교체",E320="파본"),0,D320*H320)</f>
        <v>1946160</v>
      </c>
    </row>
    <row r="321" customFormat="false" ht="15" hidden="false" customHeight="false" outlineLevel="0" collapsed="false">
      <c r="A321" s="0" t="s">
        <v>101</v>
      </c>
      <c r="B321" s="1" t="s">
        <v>17</v>
      </c>
      <c r="C321" s="1" t="s">
        <v>36</v>
      </c>
      <c r="D321" s="0" t="n">
        <v>742</v>
      </c>
      <c r="E321" s="1" t="s">
        <v>116</v>
      </c>
      <c r="F321" s="0" t="n">
        <f aca="false">SUMIFS(출고!$F$2:$F$1167,출고!$B$2:$B$1167,B321,출고!$C$2:$C$1167,C321)/SUMIFS(출고!$D$2:$D$1167,출고!$B$2:$B$1167,B321,출고!$C$2:$C$1167,C321)</f>
        <v>9348.43406593407</v>
      </c>
      <c r="G321" s="0" t="n">
        <f aca="false">D321*F321</f>
        <v>6936538.07692308</v>
      </c>
      <c r="H321" s="0" t="n">
        <f aca="false">INDEX(마스터!$E:$E,MATCH(C321,마스터!$A:$A,0))</f>
        <v>4540</v>
      </c>
      <c r="I321" s="0" t="n">
        <f aca="false">IF(OR(E321="개정판교체",E321="파본"),0,D321*H321)</f>
        <v>3368680</v>
      </c>
    </row>
    <row r="322" customFormat="false" ht="15" hidden="false" customHeight="false" outlineLevel="0" collapsed="false">
      <c r="A322" s="0" t="s">
        <v>101</v>
      </c>
      <c r="B322" s="1" t="s">
        <v>17</v>
      </c>
      <c r="C322" s="1" t="s">
        <v>47</v>
      </c>
      <c r="D322" s="0" t="n">
        <v>1123</v>
      </c>
      <c r="E322" s="1" t="s">
        <v>117</v>
      </c>
      <c r="F322" s="0" t="n">
        <f aca="false">SUMIFS(출고!$F$2:$F$1167,출고!$B$2:$B$1167,B322,출고!$C$2:$C$1167,C322)/SUMIFS(출고!$D$2:$D$1167,출고!$B$2:$B$1167,B322,출고!$C$2:$C$1167,C322)</f>
        <v>8386.65559982293</v>
      </c>
      <c r="G322" s="0" t="n">
        <f aca="false">D322*F322</f>
        <v>9418214.23860115</v>
      </c>
      <c r="H322" s="0" t="n">
        <f aca="false">INDEX(마스터!$E:$E,MATCH(C322,마스터!$A:$A,0))</f>
        <v>4170</v>
      </c>
      <c r="I322" s="0" t="n">
        <f aca="false">IF(OR(E322="개정판교체",E322="파본"),0,D322*H322)</f>
        <v>4682910</v>
      </c>
    </row>
    <row r="323" customFormat="false" ht="15" hidden="false" customHeight="false" outlineLevel="0" collapsed="false">
      <c r="A323" s="0" t="s">
        <v>101</v>
      </c>
      <c r="B323" s="1" t="s">
        <v>18</v>
      </c>
      <c r="C323" s="1" t="s">
        <v>54</v>
      </c>
      <c r="D323" s="0" t="n">
        <v>502</v>
      </c>
      <c r="E323" s="1" t="s">
        <v>116</v>
      </c>
      <c r="F323" s="0" t="n">
        <f aca="false">SUMIFS(출고!$F$2:$F$1167,출고!$B$2:$B$1167,B323,출고!$C$2:$C$1167,C323)/SUMIFS(출고!$D$2:$D$1167,출고!$B$2:$B$1167,B323,출고!$C$2:$C$1167,C323)</f>
        <v>13430.1992585728</v>
      </c>
      <c r="G323" s="0" t="n">
        <f aca="false">D323*F323</f>
        <v>6741960.02780352</v>
      </c>
      <c r="H323" s="0" t="n">
        <f aca="false">INDEX(마스터!$E:$E,MATCH(C323,마스터!$A:$A,0))</f>
        <v>6790</v>
      </c>
      <c r="I323" s="0" t="n">
        <f aca="false">IF(OR(E323="개정판교체",E323="파본"),0,D323*H323)</f>
        <v>3408580</v>
      </c>
    </row>
    <row r="324" customFormat="false" ht="15" hidden="false" customHeight="false" outlineLevel="0" collapsed="false">
      <c r="A324" s="0" t="s">
        <v>101</v>
      </c>
      <c r="B324" s="1" t="s">
        <v>18</v>
      </c>
      <c r="C324" s="1" t="s">
        <v>54</v>
      </c>
      <c r="D324" s="0" t="n">
        <v>283</v>
      </c>
      <c r="E324" s="1" t="s">
        <v>118</v>
      </c>
      <c r="F324" s="0" t="n">
        <f aca="false">SUMIFS(출고!$F$2:$F$1167,출고!$B$2:$B$1167,B324,출고!$C$2:$C$1167,C324)/SUMIFS(출고!$D$2:$D$1167,출고!$B$2:$B$1167,B324,출고!$C$2:$C$1167,C324)</f>
        <v>13430.1992585728</v>
      </c>
      <c r="G324" s="0" t="n">
        <f aca="false">D324*F324</f>
        <v>3800746.39017609</v>
      </c>
      <c r="H324" s="0" t="n">
        <f aca="false">INDEX(마스터!$E:$E,MATCH(C324,마스터!$A:$A,0))</f>
        <v>6790</v>
      </c>
      <c r="I324" s="0" t="n">
        <f aca="false">IF(OR(E324="개정판교체",E324="파본"),0,D324*H324)</f>
        <v>0</v>
      </c>
    </row>
    <row r="325" customFormat="false" ht="15" hidden="false" customHeight="false" outlineLevel="0" collapsed="false">
      <c r="A325" s="0" t="s">
        <v>101</v>
      </c>
      <c r="B325" s="1" t="s">
        <v>18</v>
      </c>
      <c r="C325" s="1" t="s">
        <v>51</v>
      </c>
      <c r="D325" s="0" t="n">
        <v>550</v>
      </c>
      <c r="E325" s="1" t="s">
        <v>116</v>
      </c>
      <c r="F325" s="0" t="n">
        <f aca="false">SUMIFS(출고!$F$2:$F$1167,출고!$B$2:$B$1167,B325,출고!$C$2:$C$1167,C325)/SUMIFS(출고!$D$2:$D$1167,출고!$B$2:$B$1167,B325,출고!$C$2:$C$1167,C325)</f>
        <v>14411.0224506357</v>
      </c>
      <c r="G325" s="0" t="n">
        <f aca="false">D325*F325</f>
        <v>7926062.34784961</v>
      </c>
      <c r="H325" s="0" t="n">
        <f aca="false">INDEX(마스터!$E:$E,MATCH(C325,마스터!$A:$A,0))</f>
        <v>7480</v>
      </c>
      <c r="I325" s="0" t="n">
        <f aca="false">IF(OR(E325="개정판교체",E325="파본"),0,D325*H325)</f>
        <v>4114000</v>
      </c>
    </row>
    <row r="326" customFormat="false" ht="15" hidden="false" customHeight="false" outlineLevel="0" collapsed="false">
      <c r="A326" s="0" t="s">
        <v>101</v>
      </c>
      <c r="B326" s="1" t="s">
        <v>18</v>
      </c>
      <c r="C326" s="1" t="s">
        <v>51</v>
      </c>
      <c r="D326" s="0" t="n">
        <v>415</v>
      </c>
      <c r="E326" s="1" t="s">
        <v>118</v>
      </c>
      <c r="F326" s="0" t="n">
        <f aca="false">SUMIFS(출고!$F$2:$F$1167,출고!$B$2:$B$1167,B326,출고!$C$2:$C$1167,C326)/SUMIFS(출고!$D$2:$D$1167,출고!$B$2:$B$1167,B326,출고!$C$2:$C$1167,C326)</f>
        <v>14411.0224506357</v>
      </c>
      <c r="G326" s="0" t="n">
        <f aca="false">D326*F326</f>
        <v>5980574.3170138</v>
      </c>
      <c r="H326" s="0" t="n">
        <f aca="false">INDEX(마스터!$E:$E,MATCH(C326,마스터!$A:$A,0))</f>
        <v>7480</v>
      </c>
      <c r="I326" s="0" t="n">
        <f aca="false">IF(OR(E326="개정판교체",E326="파본"),0,D326*H326)</f>
        <v>0</v>
      </c>
    </row>
    <row r="327" customFormat="false" ht="15" hidden="false" customHeight="false" outlineLevel="0" collapsed="false">
      <c r="A327" s="0" t="s">
        <v>101</v>
      </c>
      <c r="B327" s="1" t="s">
        <v>19</v>
      </c>
      <c r="C327" s="1" t="s">
        <v>41</v>
      </c>
      <c r="D327" s="0" t="n">
        <v>986</v>
      </c>
      <c r="E327" s="1" t="s">
        <v>116</v>
      </c>
      <c r="F327" s="0" t="n">
        <f aca="false">SUMIFS(출고!$F$2:$F$1167,출고!$B$2:$B$1167,B327,출고!$C$2:$C$1167,C327)/SUMIFS(출고!$D$2:$D$1167,출고!$B$2:$B$1167,B327,출고!$C$2:$C$1167,C327)</f>
        <v>11026.8192607664</v>
      </c>
      <c r="G327" s="0" t="n">
        <f aca="false">D327*F327</f>
        <v>10872443.7911156</v>
      </c>
      <c r="H327" s="0" t="n">
        <f aca="false">INDEX(마스터!$E:$E,MATCH(C327,마스터!$A:$A,0))</f>
        <v>5480</v>
      </c>
      <c r="I327" s="0" t="n">
        <f aca="false">IF(OR(E327="개정판교체",E327="파본"),0,D327*H327)</f>
        <v>5403280</v>
      </c>
    </row>
    <row r="328" customFormat="false" ht="15" hidden="false" customHeight="false" outlineLevel="0" collapsed="false">
      <c r="A328" s="0" t="s">
        <v>101</v>
      </c>
      <c r="B328" s="1" t="s">
        <v>19</v>
      </c>
      <c r="C328" s="1" t="s">
        <v>42</v>
      </c>
      <c r="D328" s="0" t="n">
        <v>459</v>
      </c>
      <c r="E328" s="1" t="s">
        <v>117</v>
      </c>
      <c r="F328" s="0" t="n">
        <f aca="false">SUMIFS(출고!$F$2:$F$1167,출고!$B$2:$B$1167,B328,출고!$C$2:$C$1167,C328)/SUMIFS(출고!$D$2:$D$1167,출고!$B$2:$B$1167,B328,출고!$C$2:$C$1167,C328)</f>
        <v>12320.7000946074</v>
      </c>
      <c r="G328" s="0" t="n">
        <f aca="false">D328*F328</f>
        <v>5655201.34342479</v>
      </c>
      <c r="H328" s="0" t="n">
        <f aca="false">INDEX(마스터!$E:$E,MATCH(C328,마스터!$A:$A,0))</f>
        <v>6730</v>
      </c>
      <c r="I328" s="0" t="n">
        <f aca="false">IF(OR(E328="개정판교체",E328="파본"),0,D328*H328)</f>
        <v>3089070</v>
      </c>
    </row>
    <row r="329" customFormat="false" ht="15" hidden="false" customHeight="false" outlineLevel="0" collapsed="false">
      <c r="A329" s="0" t="s">
        <v>101</v>
      </c>
      <c r="B329" s="1" t="s">
        <v>19</v>
      </c>
      <c r="C329" s="1" t="s">
        <v>42</v>
      </c>
      <c r="D329" s="0" t="n">
        <v>282</v>
      </c>
      <c r="E329" s="1" t="s">
        <v>118</v>
      </c>
      <c r="F329" s="0" t="n">
        <f aca="false">SUMIFS(출고!$F$2:$F$1167,출고!$B$2:$B$1167,B329,출고!$C$2:$C$1167,C329)/SUMIFS(출고!$D$2:$D$1167,출고!$B$2:$B$1167,B329,출고!$C$2:$C$1167,C329)</f>
        <v>12320.7000946074</v>
      </c>
      <c r="G329" s="0" t="n">
        <f aca="false">D329*F329</f>
        <v>3474437.42667928</v>
      </c>
      <c r="H329" s="0" t="n">
        <f aca="false">INDEX(마스터!$E:$E,MATCH(C329,마스터!$A:$A,0))</f>
        <v>6730</v>
      </c>
      <c r="I329" s="0" t="n">
        <f aca="false">IF(OR(E329="개정판교체",E329="파본"),0,D329*H329)</f>
        <v>0</v>
      </c>
    </row>
    <row r="330" customFormat="false" ht="15" hidden="false" customHeight="false" outlineLevel="0" collapsed="false">
      <c r="A330" s="0" t="s">
        <v>101</v>
      </c>
      <c r="B330" s="1" t="s">
        <v>19</v>
      </c>
      <c r="C330" s="1" t="s">
        <v>66</v>
      </c>
      <c r="D330" s="0" t="n">
        <v>894</v>
      </c>
      <c r="E330" s="1" t="s">
        <v>120</v>
      </c>
      <c r="F330" s="0" t="n">
        <f aca="false">SUMIFS(출고!$F$2:$F$1167,출고!$B$2:$B$1167,B330,출고!$C$2:$C$1167,C330)/SUMIFS(출고!$D$2:$D$1167,출고!$B$2:$B$1167,B330,출고!$C$2:$C$1167,C330)</f>
        <v>11993.6223404255</v>
      </c>
      <c r="G330" s="0" t="n">
        <f aca="false">D330*F330</f>
        <v>10722298.3723404</v>
      </c>
      <c r="H330" s="0" t="n">
        <f aca="false">INDEX(마스터!$E:$E,MATCH(C330,마스터!$A:$A,0))</f>
        <v>6360</v>
      </c>
      <c r="I330" s="0" t="n">
        <f aca="false">IF(OR(E330="개정판교체",E330="파본"),0,D330*H330)</f>
        <v>0</v>
      </c>
    </row>
    <row r="331" customFormat="false" ht="15" hidden="false" customHeight="false" outlineLevel="0" collapsed="false">
      <c r="A331" s="0" t="s">
        <v>101</v>
      </c>
      <c r="B331" s="1" t="s">
        <v>20</v>
      </c>
      <c r="C331" s="1" t="s">
        <v>53</v>
      </c>
      <c r="D331" s="0" t="n">
        <v>574</v>
      </c>
      <c r="E331" s="1" t="s">
        <v>117</v>
      </c>
      <c r="F331" s="0" t="n">
        <f aca="false">SUMIFS(출고!$F$2:$F$1167,출고!$B$2:$B$1167,B331,출고!$C$2:$C$1167,C331)/SUMIFS(출고!$D$2:$D$1167,출고!$B$2:$B$1167,B331,출고!$C$2:$C$1167,C331)</f>
        <v>13799.321192053</v>
      </c>
      <c r="G331" s="0" t="n">
        <f aca="false">D331*F331</f>
        <v>7920810.36423841</v>
      </c>
      <c r="H331" s="0" t="n">
        <f aca="false">INDEX(마스터!$E:$E,MATCH(C331,마스터!$A:$A,0))</f>
        <v>6630</v>
      </c>
      <c r="I331" s="0" t="n">
        <f aca="false">IF(OR(E331="개정판교체",E331="파본"),0,D331*H331)</f>
        <v>3805620</v>
      </c>
    </row>
    <row r="332" customFormat="false" ht="15" hidden="false" customHeight="false" outlineLevel="0" collapsed="false">
      <c r="A332" s="0" t="s">
        <v>101</v>
      </c>
      <c r="B332" s="1" t="s">
        <v>21</v>
      </c>
      <c r="C332" s="1" t="s">
        <v>57</v>
      </c>
      <c r="D332" s="0" t="n">
        <v>1102</v>
      </c>
      <c r="E332" s="1" t="s">
        <v>116</v>
      </c>
      <c r="F332" s="0" t="n">
        <f aca="false">SUMIFS(출고!$F$2:$F$1167,출고!$B$2:$B$1167,B332,출고!$C$2:$C$1167,C332)/SUMIFS(출고!$D$2:$D$1167,출고!$B$2:$B$1167,B332,출고!$C$2:$C$1167,C332)</f>
        <v>10509.1051995163</v>
      </c>
      <c r="G332" s="0" t="n">
        <f aca="false">D332*F332</f>
        <v>11581033.929867</v>
      </c>
      <c r="H332" s="0" t="n">
        <f aca="false">INDEX(마스터!$E:$E,MATCH(C332,마스터!$A:$A,0))</f>
        <v>4870</v>
      </c>
      <c r="I332" s="0" t="n">
        <f aca="false">IF(OR(E332="개정판교체",E332="파본"),0,D332*H332)</f>
        <v>5366740</v>
      </c>
    </row>
    <row r="333" customFormat="false" ht="15" hidden="false" customHeight="false" outlineLevel="0" collapsed="false">
      <c r="A333" s="0" t="s">
        <v>101</v>
      </c>
      <c r="B333" s="1" t="s">
        <v>22</v>
      </c>
      <c r="C333" s="1" t="s">
        <v>72</v>
      </c>
      <c r="D333" s="0" t="n">
        <v>1248</v>
      </c>
      <c r="E333" s="1" t="s">
        <v>117</v>
      </c>
      <c r="F333" s="0" t="n">
        <f aca="false">SUMIFS(출고!$F$2:$F$1167,출고!$B$2:$B$1167,B333,출고!$C$2:$C$1167,C333)/SUMIFS(출고!$D$2:$D$1167,출고!$B$2:$B$1167,B333,출고!$C$2:$C$1167,C333)</f>
        <v>12277.8657014478</v>
      </c>
      <c r="G333" s="0" t="n">
        <f aca="false">D333*F333</f>
        <v>15322776.3954069</v>
      </c>
      <c r="H333" s="0" t="n">
        <f aca="false">INDEX(마스터!$E:$E,MATCH(C333,마스터!$A:$A,0))</f>
        <v>5920</v>
      </c>
      <c r="I333" s="0" t="n">
        <f aca="false">IF(OR(E333="개정판교체",E333="파본"),0,D333*H333)</f>
        <v>7388160</v>
      </c>
    </row>
    <row r="334" customFormat="false" ht="15" hidden="false" customHeight="false" outlineLevel="0" collapsed="false">
      <c r="A334" s="0" t="s">
        <v>101</v>
      </c>
      <c r="B334" s="1" t="s">
        <v>23</v>
      </c>
      <c r="C334" s="1" t="s">
        <v>77</v>
      </c>
      <c r="D334" s="0" t="n">
        <v>1309</v>
      </c>
      <c r="E334" s="1" t="s">
        <v>116</v>
      </c>
      <c r="F334" s="0" t="n">
        <f aca="false">SUMIFS(출고!$F$2:$F$1167,출고!$B$2:$B$1167,B334,출고!$C$2:$C$1167,C334)/SUMIFS(출고!$D$2:$D$1167,출고!$B$2:$B$1167,B334,출고!$C$2:$C$1167,C334)</f>
        <v>11857.5775193798</v>
      </c>
      <c r="G334" s="0" t="n">
        <f aca="false">D334*F334</f>
        <v>15521568.9728682</v>
      </c>
      <c r="H334" s="0" t="n">
        <f aca="false">INDEX(마스터!$E:$E,MATCH(C334,마스터!$A:$A,0))</f>
        <v>5380</v>
      </c>
      <c r="I334" s="0" t="n">
        <f aca="false">IF(OR(E334="개정판교체",E334="파본"),0,D334*H334)</f>
        <v>7042420</v>
      </c>
    </row>
    <row r="335" customFormat="false" ht="15" hidden="false" customHeight="false" outlineLevel="0" collapsed="false">
      <c r="A335" s="0" t="s">
        <v>101</v>
      </c>
      <c r="B335" s="1" t="s">
        <v>25</v>
      </c>
      <c r="C335" s="1" t="s">
        <v>60</v>
      </c>
      <c r="D335" s="0" t="n">
        <v>580</v>
      </c>
      <c r="E335" s="1" t="s">
        <v>117</v>
      </c>
      <c r="F335" s="0" t="n">
        <f aca="false">SUMIFS(출고!$F$2:$F$1167,출고!$B$2:$B$1167,B335,출고!$C$2:$C$1167,C335)/SUMIFS(출고!$D$2:$D$1167,출고!$B$2:$B$1167,B335,출고!$C$2:$C$1167,C335)</f>
        <v>13651.7279626386</v>
      </c>
      <c r="G335" s="0" t="n">
        <f aca="false">D335*F335</f>
        <v>7918002.21833042</v>
      </c>
      <c r="H335" s="0" t="n">
        <f aca="false">INDEX(마스터!$E:$E,MATCH(C335,마스터!$A:$A,0))</f>
        <v>6980</v>
      </c>
      <c r="I335" s="0" t="n">
        <f aca="false">IF(OR(E335="개정판교체",E335="파본"),0,D335*H335)</f>
        <v>4048400</v>
      </c>
    </row>
    <row r="336" customFormat="false" ht="15" hidden="false" customHeight="false" outlineLevel="0" collapsed="false">
      <c r="A336" s="0" t="s">
        <v>101</v>
      </c>
      <c r="B336" s="1" t="s">
        <v>24</v>
      </c>
      <c r="C336" s="1" t="s">
        <v>41</v>
      </c>
      <c r="D336" s="0" t="n">
        <v>946</v>
      </c>
      <c r="E336" s="1" t="s">
        <v>116</v>
      </c>
      <c r="F336" s="0" t="n">
        <f aca="false">SUMIFS(출고!$F$2:$F$1167,출고!$B$2:$B$1167,B336,출고!$C$2:$C$1167,C336)/SUMIFS(출고!$D$2:$D$1167,출고!$B$2:$B$1167,B336,출고!$C$2:$C$1167,C336)</f>
        <v>11913.5556811758</v>
      </c>
      <c r="G336" s="0" t="n">
        <f aca="false">D336*F336</f>
        <v>11270223.6743923</v>
      </c>
      <c r="H336" s="0" t="n">
        <f aca="false">INDEX(마스터!$E:$E,MATCH(C336,마스터!$A:$A,0))</f>
        <v>5480</v>
      </c>
      <c r="I336" s="0" t="n">
        <f aca="false">IF(OR(E336="개정판교체",E336="파본"),0,D336*H336)</f>
        <v>5184080</v>
      </c>
    </row>
    <row r="337" customFormat="false" ht="15" hidden="false" customHeight="false" outlineLevel="0" collapsed="false">
      <c r="A337" s="0" t="s">
        <v>102</v>
      </c>
      <c r="B337" s="1" t="s">
        <v>14</v>
      </c>
      <c r="C337" s="1" t="s">
        <v>41</v>
      </c>
      <c r="D337" s="0" t="n">
        <v>7517</v>
      </c>
      <c r="E337" s="1" t="s">
        <v>117</v>
      </c>
      <c r="F337" s="0" t="n">
        <f aca="false">SUMIFS(출고!$F$2:$F$1167,출고!$B$2:$B$1167,B337,출고!$C$2:$C$1167,C337)/SUMIFS(출고!$D$2:$D$1167,출고!$B$2:$B$1167,B337,출고!$C$2:$C$1167,C337)</f>
        <v>10967.1647780925</v>
      </c>
      <c r="G337" s="0" t="n">
        <f aca="false">D337*F337</f>
        <v>82440177.6369216</v>
      </c>
      <c r="H337" s="0" t="n">
        <f aca="false">INDEX(마스터!$E:$E,MATCH(C337,마스터!$A:$A,0))</f>
        <v>5480</v>
      </c>
      <c r="I337" s="0" t="n">
        <f aca="false">IF(OR(E337="개정판교체",E337="파본"),0,D337*H337)</f>
        <v>41193160</v>
      </c>
    </row>
    <row r="338" customFormat="false" ht="15" hidden="false" customHeight="false" outlineLevel="0" collapsed="false">
      <c r="A338" s="0" t="s">
        <v>102</v>
      </c>
      <c r="B338" s="1" t="s">
        <v>14</v>
      </c>
      <c r="C338" s="1" t="s">
        <v>60</v>
      </c>
      <c r="D338" s="0" t="n">
        <v>3113</v>
      </c>
      <c r="E338" s="1" t="s">
        <v>116</v>
      </c>
      <c r="F338" s="0" t="n">
        <f aca="false">SUMIFS(출고!$F$2:$F$1167,출고!$B$2:$B$1167,B338,출고!$C$2:$C$1167,C338)/SUMIFS(출고!$D$2:$D$1167,출고!$B$2:$B$1167,B338,출고!$C$2:$C$1167,C338)</f>
        <v>12566.7032287965</v>
      </c>
      <c r="G338" s="0" t="n">
        <f aca="false">D338*F338</f>
        <v>39120147.1512436</v>
      </c>
      <c r="H338" s="0" t="n">
        <f aca="false">INDEX(마스터!$E:$E,MATCH(C338,마스터!$A:$A,0))</f>
        <v>6980</v>
      </c>
      <c r="I338" s="0" t="n">
        <f aca="false">IF(OR(E338="개정판교체",E338="파본"),0,D338*H338)</f>
        <v>21728740</v>
      </c>
    </row>
    <row r="339" customFormat="false" ht="15" hidden="false" customHeight="false" outlineLevel="0" collapsed="false">
      <c r="A339" s="0" t="s">
        <v>102</v>
      </c>
      <c r="B339" s="1" t="s">
        <v>14</v>
      </c>
      <c r="C339" s="1" t="s">
        <v>34</v>
      </c>
      <c r="D339" s="0" t="n">
        <v>2053</v>
      </c>
      <c r="E339" s="1" t="s">
        <v>116</v>
      </c>
      <c r="F339" s="0" t="n">
        <f aca="false">SUMIFS(출고!$F$2:$F$1167,출고!$B$2:$B$1167,B339,출고!$C$2:$C$1167,C339)/SUMIFS(출고!$D$2:$D$1167,출고!$B$2:$B$1167,B339,출고!$C$2:$C$1167,C339)</f>
        <v>11933.4980673661</v>
      </c>
      <c r="G339" s="0" t="n">
        <f aca="false">D339*F339</f>
        <v>24499471.5323026</v>
      </c>
      <c r="H339" s="0" t="n">
        <f aca="false">INDEX(마스터!$E:$E,MATCH(C339,마스터!$A:$A,0))</f>
        <v>6630</v>
      </c>
      <c r="I339" s="0" t="n">
        <f aca="false">IF(OR(E339="개정판교체",E339="파본"),0,D339*H339)</f>
        <v>13611390</v>
      </c>
    </row>
    <row r="340" customFormat="false" ht="15" hidden="false" customHeight="false" outlineLevel="0" collapsed="false">
      <c r="A340" s="0" t="s">
        <v>102</v>
      </c>
      <c r="B340" s="1" t="s">
        <v>14</v>
      </c>
      <c r="C340" s="1" t="s">
        <v>34</v>
      </c>
      <c r="D340" s="0" t="n">
        <v>1613</v>
      </c>
      <c r="E340" s="1" t="s">
        <v>118</v>
      </c>
      <c r="F340" s="0" t="n">
        <f aca="false">SUMIFS(출고!$F$2:$F$1167,출고!$B$2:$B$1167,B340,출고!$C$2:$C$1167,C340)/SUMIFS(출고!$D$2:$D$1167,출고!$B$2:$B$1167,B340,출고!$C$2:$C$1167,C340)</f>
        <v>11933.4980673661</v>
      </c>
      <c r="G340" s="0" t="n">
        <f aca="false">D340*F340</f>
        <v>19248732.3826615</v>
      </c>
      <c r="H340" s="0" t="n">
        <f aca="false">INDEX(마스터!$E:$E,MATCH(C340,마스터!$A:$A,0))</f>
        <v>6630</v>
      </c>
      <c r="I340" s="0" t="n">
        <f aca="false">IF(OR(E340="개정판교체",E340="파본"),0,D340*H340)</f>
        <v>0</v>
      </c>
    </row>
    <row r="341" customFormat="false" ht="15" hidden="false" customHeight="false" outlineLevel="0" collapsed="false">
      <c r="A341" s="0" t="s">
        <v>102</v>
      </c>
      <c r="B341" s="1" t="s">
        <v>14</v>
      </c>
      <c r="C341" s="1" t="s">
        <v>66</v>
      </c>
      <c r="D341" s="0" t="n">
        <v>4244</v>
      </c>
      <c r="E341" s="1" t="s">
        <v>120</v>
      </c>
      <c r="F341" s="0" t="n">
        <f aca="false">SUMIFS(출고!$F$2:$F$1167,출고!$B$2:$B$1167,B341,출고!$C$2:$C$1167,C341)/SUMIFS(출고!$D$2:$D$1167,출고!$B$2:$B$1167,B341,출고!$C$2:$C$1167,C341)</f>
        <v>11929.8916024553</v>
      </c>
      <c r="G341" s="0" t="n">
        <f aca="false">D341*F341</f>
        <v>50630459.9608202</v>
      </c>
      <c r="H341" s="0" t="n">
        <f aca="false">INDEX(마스터!$E:$E,MATCH(C341,마스터!$A:$A,0))</f>
        <v>6360</v>
      </c>
      <c r="I341" s="0" t="n">
        <f aca="false">IF(OR(E341="개정판교체",E341="파본"),0,D341*H341)</f>
        <v>0</v>
      </c>
    </row>
    <row r="342" customFormat="false" ht="15" hidden="false" customHeight="false" outlineLevel="0" collapsed="false">
      <c r="A342" s="0" t="s">
        <v>102</v>
      </c>
      <c r="B342" s="1" t="s">
        <v>14</v>
      </c>
      <c r="C342" s="1" t="s">
        <v>66</v>
      </c>
      <c r="D342" s="0" t="n">
        <v>749</v>
      </c>
      <c r="E342" s="1" t="s">
        <v>116</v>
      </c>
      <c r="F342" s="0" t="n">
        <f aca="false">SUMIFS(출고!$F$2:$F$1167,출고!$B$2:$B$1167,B342,출고!$C$2:$C$1167,C342)/SUMIFS(출고!$D$2:$D$1167,출고!$B$2:$B$1167,B342,출고!$C$2:$C$1167,C342)</f>
        <v>11929.8916024553</v>
      </c>
      <c r="G342" s="0" t="n">
        <f aca="false">D342*F342</f>
        <v>8935488.810239</v>
      </c>
      <c r="H342" s="0" t="n">
        <f aca="false">INDEX(마스터!$E:$E,MATCH(C342,마스터!$A:$A,0))</f>
        <v>6360</v>
      </c>
      <c r="I342" s="0" t="n">
        <f aca="false">IF(OR(E342="개정판교체",E342="파본"),0,D342*H342)</f>
        <v>4763640</v>
      </c>
    </row>
    <row r="343" customFormat="false" ht="15" hidden="false" customHeight="false" outlineLevel="0" collapsed="false">
      <c r="A343" s="0" t="s">
        <v>102</v>
      </c>
      <c r="B343" s="1" t="s">
        <v>15</v>
      </c>
      <c r="C343" s="1" t="s">
        <v>37</v>
      </c>
      <c r="D343" s="0" t="n">
        <v>1010</v>
      </c>
      <c r="E343" s="1" t="s">
        <v>116</v>
      </c>
      <c r="F343" s="0" t="n">
        <f aca="false">SUMIFS(출고!$F$2:$F$1167,출고!$B$2:$B$1167,B343,출고!$C$2:$C$1167,C343)/SUMIFS(출고!$D$2:$D$1167,출고!$B$2:$B$1167,B343,출고!$C$2:$C$1167,C343)</f>
        <v>9748.36139435618</v>
      </c>
      <c r="G343" s="0" t="n">
        <f aca="false">D343*F343</f>
        <v>9845845.00829974</v>
      </c>
      <c r="H343" s="0" t="n">
        <f aca="false">INDEX(마스터!$E:$E,MATCH(C343,마스터!$A:$A,0))</f>
        <v>4900</v>
      </c>
      <c r="I343" s="0" t="n">
        <f aca="false">IF(OR(E343="개정판교체",E343="파본"),0,D343*H343)</f>
        <v>4949000</v>
      </c>
    </row>
    <row r="344" customFormat="false" ht="15" hidden="false" customHeight="false" outlineLevel="0" collapsed="false">
      <c r="A344" s="0" t="s">
        <v>102</v>
      </c>
      <c r="B344" s="1" t="s">
        <v>15</v>
      </c>
      <c r="C344" s="1" t="s">
        <v>41</v>
      </c>
      <c r="D344" s="0" t="n">
        <v>896</v>
      </c>
      <c r="E344" s="1" t="s">
        <v>116</v>
      </c>
      <c r="F344" s="0" t="n">
        <f aca="false">SUMIFS(출고!$F$2:$F$1167,출고!$B$2:$B$1167,B344,출고!$C$2:$C$1167,C344)/SUMIFS(출고!$D$2:$D$1167,출고!$B$2:$B$1167,B344,출고!$C$2:$C$1167,C344)</f>
        <v>11054.3527392362</v>
      </c>
      <c r="G344" s="0" t="n">
        <f aca="false">D344*F344</f>
        <v>9904700.0543556</v>
      </c>
      <c r="H344" s="0" t="n">
        <f aca="false">INDEX(마스터!$E:$E,MATCH(C344,마스터!$A:$A,0))</f>
        <v>5480</v>
      </c>
      <c r="I344" s="0" t="n">
        <f aca="false">IF(OR(E344="개정판교체",E344="파본"),0,D344*H344)</f>
        <v>4910080</v>
      </c>
    </row>
    <row r="345" customFormat="false" ht="15" hidden="false" customHeight="false" outlineLevel="0" collapsed="false">
      <c r="A345" s="0" t="s">
        <v>102</v>
      </c>
      <c r="B345" s="1" t="s">
        <v>15</v>
      </c>
      <c r="C345" s="1" t="s">
        <v>48</v>
      </c>
      <c r="D345" s="0" t="n">
        <v>460</v>
      </c>
      <c r="E345" s="1" t="s">
        <v>116</v>
      </c>
      <c r="F345" s="0" t="n">
        <f aca="false">SUMIFS(출고!$F$2:$F$1167,출고!$B$2:$B$1167,B345,출고!$C$2:$C$1167,C345)/SUMIFS(출고!$D$2:$D$1167,출고!$B$2:$B$1167,B345,출고!$C$2:$C$1167,C345)</f>
        <v>12033.9746597841</v>
      </c>
      <c r="G345" s="0" t="n">
        <f aca="false">D345*F345</f>
        <v>5535628.3435007</v>
      </c>
      <c r="H345" s="0" t="n">
        <f aca="false">INDEX(마스터!$E:$E,MATCH(C345,마스터!$A:$A,0))</f>
        <v>6440</v>
      </c>
      <c r="I345" s="0" t="n">
        <f aca="false">IF(OR(E345="개정판교체",E345="파본"),0,D345*H345)</f>
        <v>2962400</v>
      </c>
    </row>
    <row r="346" customFormat="false" ht="15" hidden="false" customHeight="false" outlineLevel="0" collapsed="false">
      <c r="A346" s="0" t="s">
        <v>102</v>
      </c>
      <c r="B346" s="1" t="s">
        <v>15</v>
      </c>
      <c r="C346" s="1" t="s">
        <v>48</v>
      </c>
      <c r="D346" s="0" t="n">
        <v>392</v>
      </c>
      <c r="E346" s="1" t="s">
        <v>118</v>
      </c>
      <c r="F346" s="0" t="n">
        <f aca="false">SUMIFS(출고!$F$2:$F$1167,출고!$B$2:$B$1167,B346,출고!$C$2:$C$1167,C346)/SUMIFS(출고!$D$2:$D$1167,출고!$B$2:$B$1167,B346,출고!$C$2:$C$1167,C346)</f>
        <v>12033.9746597841</v>
      </c>
      <c r="G346" s="0" t="n">
        <f aca="false">D346*F346</f>
        <v>4717318.06663538</v>
      </c>
      <c r="H346" s="0" t="n">
        <f aca="false">INDEX(마스터!$E:$E,MATCH(C346,마스터!$A:$A,0))</f>
        <v>6440</v>
      </c>
      <c r="I346" s="0" t="n">
        <f aca="false">IF(OR(E346="개정판교체",E346="파본"),0,D346*H346)</f>
        <v>0</v>
      </c>
    </row>
    <row r="347" customFormat="false" ht="15" hidden="false" customHeight="false" outlineLevel="0" collapsed="false">
      <c r="A347" s="0" t="s">
        <v>102</v>
      </c>
      <c r="B347" s="1" t="s">
        <v>15</v>
      </c>
      <c r="C347" s="1" t="s">
        <v>51</v>
      </c>
      <c r="D347" s="0" t="n">
        <v>477</v>
      </c>
      <c r="E347" s="1" t="s">
        <v>117</v>
      </c>
      <c r="F347" s="0" t="n">
        <f aca="false">SUMIFS(출고!$F$2:$F$1167,출고!$B$2:$B$1167,B347,출고!$C$2:$C$1167,C347)/SUMIFS(출고!$D$2:$D$1167,출고!$B$2:$B$1167,B347,출고!$C$2:$C$1167,C347)</f>
        <v>13332.3864085342</v>
      </c>
      <c r="G347" s="0" t="n">
        <f aca="false">D347*F347</f>
        <v>6359548.3168708</v>
      </c>
      <c r="H347" s="0" t="n">
        <f aca="false">INDEX(마스터!$E:$E,MATCH(C347,마스터!$A:$A,0))</f>
        <v>7480</v>
      </c>
      <c r="I347" s="0" t="n">
        <f aca="false">IF(OR(E347="개정판교체",E347="파본"),0,D347*H347)</f>
        <v>3567960</v>
      </c>
    </row>
    <row r="348" customFormat="false" ht="15" hidden="false" customHeight="false" outlineLevel="0" collapsed="false">
      <c r="A348" s="0" t="s">
        <v>102</v>
      </c>
      <c r="B348" s="1" t="s">
        <v>15</v>
      </c>
      <c r="C348" s="1" t="s">
        <v>51</v>
      </c>
      <c r="D348" s="0" t="n">
        <v>360</v>
      </c>
      <c r="E348" s="1" t="s">
        <v>118</v>
      </c>
      <c r="F348" s="0" t="n">
        <f aca="false">SUMIFS(출고!$F$2:$F$1167,출고!$B$2:$B$1167,B348,출고!$C$2:$C$1167,C348)/SUMIFS(출고!$D$2:$D$1167,출고!$B$2:$B$1167,B348,출고!$C$2:$C$1167,C348)</f>
        <v>13332.3864085342</v>
      </c>
      <c r="G348" s="0" t="n">
        <f aca="false">D348*F348</f>
        <v>4799659.1070723</v>
      </c>
      <c r="H348" s="0" t="n">
        <f aca="false">INDEX(마스터!$E:$E,MATCH(C348,마스터!$A:$A,0))</f>
        <v>7480</v>
      </c>
      <c r="I348" s="0" t="n">
        <f aca="false">IF(OR(E348="개정판교체",E348="파본"),0,D348*H348)</f>
        <v>0</v>
      </c>
    </row>
    <row r="349" customFormat="false" ht="15" hidden="false" customHeight="false" outlineLevel="0" collapsed="false">
      <c r="A349" s="0" t="s">
        <v>102</v>
      </c>
      <c r="B349" s="1" t="s">
        <v>15</v>
      </c>
      <c r="C349" s="1" t="s">
        <v>66</v>
      </c>
      <c r="D349" s="0" t="n">
        <v>1921</v>
      </c>
      <c r="E349" s="1" t="s">
        <v>120</v>
      </c>
      <c r="F349" s="0" t="n">
        <f aca="false">SUMIFS(출고!$F$2:$F$1167,출고!$B$2:$B$1167,B349,출고!$C$2:$C$1167,C349)/SUMIFS(출고!$D$2:$D$1167,출고!$B$2:$B$1167,B349,출고!$C$2:$C$1167,C349)</f>
        <v>12030.3590777372</v>
      </c>
      <c r="G349" s="0" t="n">
        <f aca="false">D349*F349</f>
        <v>23110319.7883331</v>
      </c>
      <c r="H349" s="0" t="n">
        <f aca="false">INDEX(마스터!$E:$E,MATCH(C349,마스터!$A:$A,0))</f>
        <v>6360</v>
      </c>
      <c r="I349" s="0" t="n">
        <f aca="false">IF(OR(E349="개정판교체",E349="파본"),0,D349*H349)</f>
        <v>0</v>
      </c>
    </row>
    <row r="350" customFormat="false" ht="15" hidden="false" customHeight="false" outlineLevel="0" collapsed="false">
      <c r="A350" s="0" t="s">
        <v>102</v>
      </c>
      <c r="B350" s="1" t="s">
        <v>15</v>
      </c>
      <c r="C350" s="1" t="s">
        <v>66</v>
      </c>
      <c r="D350" s="0" t="n">
        <v>339</v>
      </c>
      <c r="E350" s="1" t="s">
        <v>116</v>
      </c>
      <c r="F350" s="0" t="n">
        <f aca="false">SUMIFS(출고!$F$2:$F$1167,출고!$B$2:$B$1167,B350,출고!$C$2:$C$1167,C350)/SUMIFS(출고!$D$2:$D$1167,출고!$B$2:$B$1167,B350,출고!$C$2:$C$1167,C350)</f>
        <v>12030.3590777372</v>
      </c>
      <c r="G350" s="0" t="n">
        <f aca="false">D350*F350</f>
        <v>4078291.7273529</v>
      </c>
      <c r="H350" s="0" t="n">
        <f aca="false">INDEX(마스터!$E:$E,MATCH(C350,마스터!$A:$A,0))</f>
        <v>6360</v>
      </c>
      <c r="I350" s="0" t="n">
        <f aca="false">IF(OR(E350="개정판교체",E350="파본"),0,D350*H350)</f>
        <v>2156040</v>
      </c>
    </row>
    <row r="351" customFormat="false" ht="15" hidden="false" customHeight="false" outlineLevel="0" collapsed="false">
      <c r="A351" s="0" t="s">
        <v>102</v>
      </c>
      <c r="B351" s="1" t="s">
        <v>15</v>
      </c>
      <c r="C351" s="1" t="s">
        <v>66</v>
      </c>
      <c r="D351" s="0" t="n">
        <v>802</v>
      </c>
      <c r="E351" s="1" t="s">
        <v>117</v>
      </c>
      <c r="F351" s="0" t="n">
        <f aca="false">SUMIFS(출고!$F$2:$F$1167,출고!$B$2:$B$1167,B351,출고!$C$2:$C$1167,C351)/SUMIFS(출고!$D$2:$D$1167,출고!$B$2:$B$1167,B351,출고!$C$2:$C$1167,C351)</f>
        <v>12030.3590777372</v>
      </c>
      <c r="G351" s="0" t="n">
        <f aca="false">D351*F351</f>
        <v>9648347.98034522</v>
      </c>
      <c r="H351" s="0" t="n">
        <f aca="false">INDEX(마스터!$E:$E,MATCH(C351,마스터!$A:$A,0))</f>
        <v>6360</v>
      </c>
      <c r="I351" s="0" t="n">
        <f aca="false">IF(OR(E351="개정판교체",E351="파본"),0,D351*H351)</f>
        <v>5100720</v>
      </c>
    </row>
    <row r="352" customFormat="false" ht="15" hidden="false" customHeight="false" outlineLevel="0" collapsed="false">
      <c r="A352" s="0" t="s">
        <v>102</v>
      </c>
      <c r="B352" s="1" t="s">
        <v>16</v>
      </c>
      <c r="C352" s="1" t="s">
        <v>66</v>
      </c>
      <c r="D352" s="0" t="n">
        <v>986</v>
      </c>
      <c r="E352" s="1" t="s">
        <v>120</v>
      </c>
      <c r="F352" s="0" t="n">
        <f aca="false">SUMIFS(출고!$F$2:$F$1167,출고!$B$2:$B$1167,B352,출고!$C$2:$C$1167,C352)/SUMIFS(출고!$D$2:$D$1167,출고!$B$2:$B$1167,B352,출고!$C$2:$C$1167,C352)</f>
        <v>13064.43000693</v>
      </c>
      <c r="G352" s="0" t="n">
        <f aca="false">D352*F352</f>
        <v>12881527.986833</v>
      </c>
      <c r="H352" s="0" t="n">
        <f aca="false">INDEX(마스터!$E:$E,MATCH(C352,마스터!$A:$A,0))</f>
        <v>6360</v>
      </c>
      <c r="I352" s="0" t="n">
        <f aca="false">IF(OR(E352="개정판교체",E352="파본"),0,D352*H352)</f>
        <v>0</v>
      </c>
    </row>
    <row r="353" customFormat="false" ht="15" hidden="false" customHeight="false" outlineLevel="0" collapsed="false">
      <c r="A353" s="0" t="s">
        <v>102</v>
      </c>
      <c r="B353" s="1" t="s">
        <v>16</v>
      </c>
      <c r="C353" s="1" t="s">
        <v>66</v>
      </c>
      <c r="D353" s="0" t="n">
        <v>687</v>
      </c>
      <c r="E353" s="1" t="s">
        <v>116</v>
      </c>
      <c r="F353" s="0" t="n">
        <f aca="false">SUMIFS(출고!$F$2:$F$1167,출고!$B$2:$B$1167,B353,출고!$C$2:$C$1167,C353)/SUMIFS(출고!$D$2:$D$1167,출고!$B$2:$B$1167,B353,출고!$C$2:$C$1167,C353)</f>
        <v>13064.43000693</v>
      </c>
      <c r="G353" s="0" t="n">
        <f aca="false">D353*F353</f>
        <v>8975263.41476091</v>
      </c>
      <c r="H353" s="0" t="n">
        <f aca="false">INDEX(마스터!$E:$E,MATCH(C353,마스터!$A:$A,0))</f>
        <v>6360</v>
      </c>
      <c r="I353" s="0" t="n">
        <f aca="false">IF(OR(E353="개정판교체",E353="파본"),0,D353*H353)</f>
        <v>4369320</v>
      </c>
    </row>
    <row r="354" customFormat="false" ht="15" hidden="false" customHeight="false" outlineLevel="0" collapsed="false">
      <c r="A354" s="0" t="s">
        <v>102</v>
      </c>
      <c r="B354" s="1" t="s">
        <v>16</v>
      </c>
      <c r="C354" s="1" t="s">
        <v>68</v>
      </c>
      <c r="D354" s="0" t="n">
        <v>905</v>
      </c>
      <c r="E354" s="1" t="s">
        <v>117</v>
      </c>
      <c r="F354" s="0" t="n">
        <f aca="false">SUMIFS(출고!$F$2:$F$1167,출고!$B$2:$B$1167,B354,출고!$C$2:$C$1167,C354)/SUMIFS(출고!$D$2:$D$1167,출고!$B$2:$B$1167,B354,출고!$C$2:$C$1167,C354)</f>
        <v>10624.7078003511</v>
      </c>
      <c r="G354" s="0" t="n">
        <f aca="false">D354*F354</f>
        <v>9615360.55931778</v>
      </c>
      <c r="H354" s="0" t="n">
        <f aca="false">INDEX(마스터!$E:$E,MATCH(C354,마스터!$A:$A,0))</f>
        <v>4880</v>
      </c>
      <c r="I354" s="0" t="n">
        <f aca="false">IF(OR(E354="개정판교체",E354="파본"),0,D354*H354)</f>
        <v>4416400</v>
      </c>
    </row>
    <row r="355" customFormat="false" ht="15" hidden="false" customHeight="false" outlineLevel="0" collapsed="false">
      <c r="A355" s="0" t="s">
        <v>102</v>
      </c>
      <c r="B355" s="1" t="s">
        <v>17</v>
      </c>
      <c r="C355" s="1" t="s">
        <v>38</v>
      </c>
      <c r="D355" s="0" t="n">
        <v>923</v>
      </c>
      <c r="E355" s="1" t="s">
        <v>117</v>
      </c>
      <c r="F355" s="0" t="n">
        <f aca="false">SUMIFS(출고!$F$2:$F$1167,출고!$B$2:$B$1167,B355,출고!$C$2:$C$1167,C355)/SUMIFS(출고!$D$2:$D$1167,출고!$B$2:$B$1167,B355,출고!$C$2:$C$1167,C355)</f>
        <v>11290.7279191617</v>
      </c>
      <c r="G355" s="0" t="n">
        <f aca="false">D355*F355</f>
        <v>10421341.8693862</v>
      </c>
      <c r="H355" s="0" t="n">
        <f aca="false">INDEX(마스터!$E:$E,MATCH(C355,마스터!$A:$A,0))</f>
        <v>5670</v>
      </c>
      <c r="I355" s="0" t="n">
        <f aca="false">IF(OR(E355="개정판교체",E355="파본"),0,D355*H355)</f>
        <v>5233410</v>
      </c>
    </row>
    <row r="356" customFormat="false" ht="15" hidden="false" customHeight="false" outlineLevel="0" collapsed="false">
      <c r="A356" s="0" t="s">
        <v>102</v>
      </c>
      <c r="B356" s="1" t="s">
        <v>17</v>
      </c>
      <c r="C356" s="1" t="s">
        <v>33</v>
      </c>
      <c r="D356" s="0" t="n">
        <v>999</v>
      </c>
      <c r="E356" s="1" t="s">
        <v>116</v>
      </c>
      <c r="F356" s="0" t="n">
        <f aca="false">SUMIFS(출고!$F$2:$F$1167,출고!$B$2:$B$1167,B356,출고!$C$2:$C$1167,C356)/SUMIFS(출고!$D$2:$D$1167,출고!$B$2:$B$1167,B356,출고!$C$2:$C$1167,C356)</f>
        <v>12257.3281308064</v>
      </c>
      <c r="G356" s="0" t="n">
        <f aca="false">D356*F356</f>
        <v>12245070.8026756</v>
      </c>
      <c r="H356" s="0" t="n">
        <f aca="false">INDEX(마스터!$E:$E,MATCH(C356,마스터!$A:$A,0))</f>
        <v>6790</v>
      </c>
      <c r="I356" s="0" t="n">
        <f aca="false">IF(OR(E356="개정판교체",E356="파본"),0,D356*H356)</f>
        <v>6783210</v>
      </c>
    </row>
    <row r="357" customFormat="false" ht="15" hidden="false" customHeight="false" outlineLevel="0" collapsed="false">
      <c r="A357" s="0" t="s">
        <v>102</v>
      </c>
      <c r="B357" s="1" t="s">
        <v>17</v>
      </c>
      <c r="C357" s="1" t="s">
        <v>51</v>
      </c>
      <c r="D357" s="0" t="n">
        <v>577</v>
      </c>
      <c r="E357" s="1" t="s">
        <v>116</v>
      </c>
      <c r="F357" s="0" t="n">
        <f aca="false">SUMIFS(출고!$F$2:$F$1167,출고!$B$2:$B$1167,B357,출고!$C$2:$C$1167,C357)/SUMIFS(출고!$D$2:$D$1167,출고!$B$2:$B$1167,B357,출고!$C$2:$C$1167,C357)</f>
        <v>13220.4371257485</v>
      </c>
      <c r="G357" s="0" t="n">
        <f aca="false">D357*F357</f>
        <v>7628192.22155689</v>
      </c>
      <c r="H357" s="0" t="n">
        <f aca="false">INDEX(마스터!$E:$E,MATCH(C357,마스터!$A:$A,0))</f>
        <v>7480</v>
      </c>
      <c r="I357" s="0" t="n">
        <f aca="false">IF(OR(E357="개정판교체",E357="파본"),0,D357*H357)</f>
        <v>4315960</v>
      </c>
    </row>
    <row r="358" customFormat="false" ht="15" hidden="false" customHeight="false" outlineLevel="0" collapsed="false">
      <c r="A358" s="0" t="s">
        <v>102</v>
      </c>
      <c r="B358" s="1" t="s">
        <v>17</v>
      </c>
      <c r="C358" s="1" t="s">
        <v>51</v>
      </c>
      <c r="D358" s="0" t="n">
        <v>435</v>
      </c>
      <c r="E358" s="1" t="s">
        <v>118</v>
      </c>
      <c r="F358" s="0" t="n">
        <f aca="false">SUMIFS(출고!$F$2:$F$1167,출고!$B$2:$B$1167,B358,출고!$C$2:$C$1167,C358)/SUMIFS(출고!$D$2:$D$1167,출고!$B$2:$B$1167,B358,출고!$C$2:$C$1167,C358)</f>
        <v>13220.4371257485</v>
      </c>
      <c r="G358" s="0" t="n">
        <f aca="false">D358*F358</f>
        <v>5750890.1497006</v>
      </c>
      <c r="H358" s="0" t="n">
        <f aca="false">INDEX(마스터!$E:$E,MATCH(C358,마스터!$A:$A,0))</f>
        <v>7480</v>
      </c>
      <c r="I358" s="0" t="n">
        <f aca="false">IF(OR(E358="개정판교체",E358="파본"),0,D358*H358)</f>
        <v>0</v>
      </c>
    </row>
    <row r="359" customFormat="false" ht="15" hidden="false" customHeight="false" outlineLevel="0" collapsed="false">
      <c r="A359" s="0" t="s">
        <v>102</v>
      </c>
      <c r="B359" s="1" t="s">
        <v>17</v>
      </c>
      <c r="C359" s="1" t="s">
        <v>66</v>
      </c>
      <c r="D359" s="0" t="n">
        <v>1455</v>
      </c>
      <c r="E359" s="1" t="s">
        <v>120</v>
      </c>
      <c r="F359" s="0" t="n">
        <f aca="false">SUMIFS(출고!$F$2:$F$1167,출고!$B$2:$B$1167,B359,출고!$C$2:$C$1167,C359)/SUMIFS(출고!$D$2:$D$1167,출고!$B$2:$B$1167,B359,출고!$C$2:$C$1167,C359)</f>
        <v>11919.7248624312</v>
      </c>
      <c r="G359" s="0" t="n">
        <f aca="false">D359*F359</f>
        <v>17343199.6748374</v>
      </c>
      <c r="H359" s="0" t="n">
        <f aca="false">INDEX(마스터!$E:$E,MATCH(C359,마스터!$A:$A,0))</f>
        <v>6360</v>
      </c>
      <c r="I359" s="0" t="n">
        <f aca="false">IF(OR(E359="개정판교체",E359="파본"),0,D359*H359)</f>
        <v>0</v>
      </c>
    </row>
    <row r="360" customFormat="false" ht="15" hidden="false" customHeight="false" outlineLevel="0" collapsed="false">
      <c r="A360" s="0" t="s">
        <v>102</v>
      </c>
      <c r="B360" s="1" t="s">
        <v>18</v>
      </c>
      <c r="C360" s="1" t="s">
        <v>54</v>
      </c>
      <c r="D360" s="0" t="n">
        <v>357</v>
      </c>
      <c r="E360" s="1" t="s">
        <v>117</v>
      </c>
      <c r="F360" s="0" t="n">
        <f aca="false">SUMIFS(출고!$F$2:$F$1167,출고!$B$2:$B$1167,B360,출고!$C$2:$C$1167,C360)/SUMIFS(출고!$D$2:$D$1167,출고!$B$2:$B$1167,B360,출고!$C$2:$C$1167,C360)</f>
        <v>13430.1992585728</v>
      </c>
      <c r="G360" s="0" t="n">
        <f aca="false">D360*F360</f>
        <v>4794581.13531047</v>
      </c>
      <c r="H360" s="0" t="n">
        <f aca="false">INDEX(마스터!$E:$E,MATCH(C360,마스터!$A:$A,0))</f>
        <v>6790</v>
      </c>
      <c r="I360" s="0" t="n">
        <f aca="false">IF(OR(E360="개정판교체",E360="파본"),0,D360*H360)</f>
        <v>2424030</v>
      </c>
    </row>
    <row r="361" customFormat="false" ht="15" hidden="false" customHeight="false" outlineLevel="0" collapsed="false">
      <c r="A361" s="0" t="s">
        <v>102</v>
      </c>
      <c r="B361" s="1" t="s">
        <v>18</v>
      </c>
      <c r="C361" s="1" t="s">
        <v>54</v>
      </c>
      <c r="D361" s="0" t="n">
        <v>201</v>
      </c>
      <c r="E361" s="1" t="s">
        <v>118</v>
      </c>
      <c r="F361" s="0" t="n">
        <f aca="false">SUMIFS(출고!$F$2:$F$1167,출고!$B$2:$B$1167,B361,출고!$C$2:$C$1167,C361)/SUMIFS(출고!$D$2:$D$1167,출고!$B$2:$B$1167,B361,출고!$C$2:$C$1167,C361)</f>
        <v>13430.1992585728</v>
      </c>
      <c r="G361" s="0" t="n">
        <f aca="false">D361*F361</f>
        <v>2699470.05097312</v>
      </c>
      <c r="H361" s="0" t="n">
        <f aca="false">INDEX(마스터!$E:$E,MATCH(C361,마스터!$A:$A,0))</f>
        <v>6790</v>
      </c>
      <c r="I361" s="0" t="n">
        <f aca="false">IF(OR(E361="개정판교체",E361="파본"),0,D361*H361)</f>
        <v>0</v>
      </c>
    </row>
    <row r="362" customFormat="false" ht="15" hidden="false" customHeight="false" outlineLevel="0" collapsed="false">
      <c r="A362" s="0" t="s">
        <v>102</v>
      </c>
      <c r="B362" s="1" t="s">
        <v>18</v>
      </c>
      <c r="C362" s="1" t="s">
        <v>51</v>
      </c>
      <c r="D362" s="0" t="n">
        <v>391</v>
      </c>
      <c r="E362" s="1" t="s">
        <v>116</v>
      </c>
      <c r="F362" s="0" t="n">
        <f aca="false">SUMIFS(출고!$F$2:$F$1167,출고!$B$2:$B$1167,B362,출고!$C$2:$C$1167,C362)/SUMIFS(출고!$D$2:$D$1167,출고!$B$2:$B$1167,B362,출고!$C$2:$C$1167,C362)</f>
        <v>14411.0224506357</v>
      </c>
      <c r="G362" s="0" t="n">
        <f aca="false">D362*F362</f>
        <v>5634709.77819854</v>
      </c>
      <c r="H362" s="0" t="n">
        <f aca="false">INDEX(마스터!$E:$E,MATCH(C362,마스터!$A:$A,0))</f>
        <v>7480</v>
      </c>
      <c r="I362" s="0" t="n">
        <f aca="false">IF(OR(E362="개정판교체",E362="파본"),0,D362*H362)</f>
        <v>2924680</v>
      </c>
    </row>
    <row r="363" customFormat="false" ht="15" hidden="false" customHeight="false" outlineLevel="0" collapsed="false">
      <c r="A363" s="0" t="s">
        <v>102</v>
      </c>
      <c r="B363" s="1" t="s">
        <v>18</v>
      </c>
      <c r="C363" s="1" t="s">
        <v>51</v>
      </c>
      <c r="D363" s="0" t="n">
        <v>295</v>
      </c>
      <c r="E363" s="1" t="s">
        <v>118</v>
      </c>
      <c r="F363" s="0" t="n">
        <f aca="false">SUMIFS(출고!$F$2:$F$1167,출고!$B$2:$B$1167,B363,출고!$C$2:$C$1167,C363)/SUMIFS(출고!$D$2:$D$1167,출고!$B$2:$B$1167,B363,출고!$C$2:$C$1167,C363)</f>
        <v>14411.0224506357</v>
      </c>
      <c r="G363" s="0" t="n">
        <f aca="false">D363*F363</f>
        <v>4251251.62293752</v>
      </c>
      <c r="H363" s="0" t="n">
        <f aca="false">INDEX(마스터!$E:$E,MATCH(C363,마스터!$A:$A,0))</f>
        <v>7480</v>
      </c>
      <c r="I363" s="0" t="n">
        <f aca="false">IF(OR(E363="개정판교체",E363="파본"),0,D363*H363)</f>
        <v>0</v>
      </c>
    </row>
    <row r="364" customFormat="false" ht="15" hidden="false" customHeight="false" outlineLevel="0" collapsed="false">
      <c r="A364" s="0" t="s">
        <v>102</v>
      </c>
      <c r="B364" s="1" t="s">
        <v>19</v>
      </c>
      <c r="C364" s="1" t="s">
        <v>76</v>
      </c>
      <c r="D364" s="0" t="n">
        <v>1515</v>
      </c>
      <c r="E364" s="1" t="s">
        <v>117</v>
      </c>
      <c r="F364" s="0" t="n">
        <f aca="false">SUMIFS(출고!$F$2:$F$1167,출고!$B$2:$B$1167,B364,출고!$C$2:$C$1167,C364)/SUMIFS(출고!$D$2:$D$1167,출고!$B$2:$B$1167,B364,출고!$C$2:$C$1167,C364)</f>
        <v>8760</v>
      </c>
      <c r="G364" s="0" t="n">
        <f aca="false">D364*F364</f>
        <v>13271400</v>
      </c>
      <c r="H364" s="0" t="n">
        <f aca="false">INDEX(마스터!$E:$E,MATCH(C364,마스터!$A:$A,0))</f>
        <v>4150</v>
      </c>
      <c r="I364" s="0" t="n">
        <f aca="false">IF(OR(E364="개정판교체",E364="파본"),0,D364*H364)</f>
        <v>6287250</v>
      </c>
    </row>
    <row r="365" customFormat="false" ht="15" hidden="false" customHeight="false" outlineLevel="0" collapsed="false">
      <c r="A365" s="0" t="s">
        <v>102</v>
      </c>
      <c r="B365" s="1" t="s">
        <v>20</v>
      </c>
      <c r="C365" s="1" t="s">
        <v>53</v>
      </c>
      <c r="D365" s="0" t="n">
        <v>414</v>
      </c>
      <c r="E365" s="1" t="s">
        <v>117</v>
      </c>
      <c r="F365" s="0" t="n">
        <f aca="false">SUMIFS(출고!$F$2:$F$1167,출고!$B$2:$B$1167,B365,출고!$C$2:$C$1167,C365)/SUMIFS(출고!$D$2:$D$1167,출고!$B$2:$B$1167,B365,출고!$C$2:$C$1167,C365)</f>
        <v>13799.321192053</v>
      </c>
      <c r="G365" s="0" t="n">
        <f aca="false">D365*F365</f>
        <v>5712918.97350993</v>
      </c>
      <c r="H365" s="0" t="n">
        <f aca="false">INDEX(마스터!$E:$E,MATCH(C365,마스터!$A:$A,0))</f>
        <v>6630</v>
      </c>
      <c r="I365" s="0" t="n">
        <f aca="false">IF(OR(E365="개정판교체",E365="파본"),0,D365*H365)</f>
        <v>2744820</v>
      </c>
    </row>
    <row r="366" customFormat="false" ht="15" hidden="false" customHeight="false" outlineLevel="0" collapsed="false">
      <c r="A366" s="0" t="s">
        <v>102</v>
      </c>
      <c r="B366" s="1" t="s">
        <v>20</v>
      </c>
      <c r="C366" s="1" t="s">
        <v>34</v>
      </c>
      <c r="D366" s="0" t="n">
        <v>393</v>
      </c>
      <c r="E366" s="1" t="s">
        <v>117</v>
      </c>
      <c r="F366" s="0" t="n">
        <f aca="false">SUMIFS(출고!$F$2:$F$1167,출고!$B$2:$B$1167,B366,출고!$C$2:$C$1167,C366)/SUMIFS(출고!$D$2:$D$1167,출고!$B$2:$B$1167,B366,출고!$C$2:$C$1167,C366)</f>
        <v>13181.6268191268</v>
      </c>
      <c r="G366" s="0" t="n">
        <f aca="false">D366*F366</f>
        <v>5180379.33991684</v>
      </c>
      <c r="H366" s="0" t="n">
        <f aca="false">INDEX(마스터!$E:$E,MATCH(C366,마스터!$A:$A,0))</f>
        <v>6630</v>
      </c>
      <c r="I366" s="0" t="n">
        <f aca="false">IF(OR(E366="개정판교체",E366="파본"),0,D366*H366)</f>
        <v>2605590</v>
      </c>
    </row>
    <row r="367" customFormat="false" ht="15" hidden="false" customHeight="false" outlineLevel="0" collapsed="false">
      <c r="A367" s="0" t="s">
        <v>102</v>
      </c>
      <c r="B367" s="1" t="s">
        <v>20</v>
      </c>
      <c r="C367" s="1" t="s">
        <v>34</v>
      </c>
      <c r="D367" s="0" t="n">
        <v>309</v>
      </c>
      <c r="E367" s="1" t="s">
        <v>118</v>
      </c>
      <c r="F367" s="0" t="n">
        <f aca="false">SUMIFS(출고!$F$2:$F$1167,출고!$B$2:$B$1167,B367,출고!$C$2:$C$1167,C367)/SUMIFS(출고!$D$2:$D$1167,출고!$B$2:$B$1167,B367,출고!$C$2:$C$1167,C367)</f>
        <v>13181.6268191268</v>
      </c>
      <c r="G367" s="0" t="n">
        <f aca="false">D367*F367</f>
        <v>4073122.68711019</v>
      </c>
      <c r="H367" s="0" t="n">
        <f aca="false">INDEX(마스터!$E:$E,MATCH(C367,마스터!$A:$A,0))</f>
        <v>6630</v>
      </c>
      <c r="I367" s="0" t="n">
        <f aca="false">IF(OR(E367="개정판교체",E367="파본"),0,D367*H367)</f>
        <v>0</v>
      </c>
    </row>
    <row r="368" customFormat="false" ht="15" hidden="false" customHeight="false" outlineLevel="0" collapsed="false">
      <c r="A368" s="0" t="s">
        <v>102</v>
      </c>
      <c r="B368" s="1" t="s">
        <v>21</v>
      </c>
      <c r="C368" s="1" t="s">
        <v>72</v>
      </c>
      <c r="D368" s="0" t="n">
        <v>1524</v>
      </c>
      <c r="E368" s="1" t="s">
        <v>117</v>
      </c>
      <c r="F368" s="0" t="n">
        <f aca="false">SUMIFS(출고!$F$2:$F$1167,출고!$B$2:$B$1167,B368,출고!$C$2:$C$1167,C368)/SUMIFS(출고!$D$2:$D$1167,출고!$B$2:$B$1167,B368,출고!$C$2:$C$1167,C368)</f>
        <v>12263.2052376886</v>
      </c>
      <c r="G368" s="0" t="n">
        <f aca="false">D368*F368</f>
        <v>18689124.7822374</v>
      </c>
      <c r="H368" s="0" t="n">
        <f aca="false">INDEX(마스터!$E:$E,MATCH(C368,마스터!$A:$A,0))</f>
        <v>5920</v>
      </c>
      <c r="I368" s="0" t="n">
        <f aca="false">IF(OR(E368="개정판교체",E368="파본"),0,D368*H368)</f>
        <v>9022080</v>
      </c>
    </row>
    <row r="369" customFormat="false" ht="15" hidden="false" customHeight="false" outlineLevel="0" collapsed="false">
      <c r="A369" s="0" t="s">
        <v>102</v>
      </c>
      <c r="B369" s="1" t="s">
        <v>22</v>
      </c>
      <c r="C369" s="1" t="s">
        <v>72</v>
      </c>
      <c r="D369" s="0" t="n">
        <v>877</v>
      </c>
      <c r="E369" s="1" t="s">
        <v>116</v>
      </c>
      <c r="F369" s="0" t="n">
        <f aca="false">SUMIFS(출고!$F$2:$F$1167,출고!$B$2:$B$1167,B369,출고!$C$2:$C$1167,C369)/SUMIFS(출고!$D$2:$D$1167,출고!$B$2:$B$1167,B369,출고!$C$2:$C$1167,C369)</f>
        <v>12277.8657014478</v>
      </c>
      <c r="G369" s="0" t="n">
        <f aca="false">D369*F369</f>
        <v>10767688.2201697</v>
      </c>
      <c r="H369" s="0" t="n">
        <f aca="false">INDEX(마스터!$E:$E,MATCH(C369,마스터!$A:$A,0))</f>
        <v>5920</v>
      </c>
      <c r="I369" s="0" t="n">
        <f aca="false">IF(OR(E369="개정판교체",E369="파본"),0,D369*H369)</f>
        <v>5191840</v>
      </c>
    </row>
    <row r="370" customFormat="false" ht="15" hidden="false" customHeight="false" outlineLevel="0" collapsed="false">
      <c r="A370" s="0" t="s">
        <v>102</v>
      </c>
      <c r="B370" s="1" t="s">
        <v>23</v>
      </c>
      <c r="C370" s="1" t="s">
        <v>77</v>
      </c>
      <c r="D370" s="0" t="n">
        <v>872</v>
      </c>
      <c r="E370" s="1" t="s">
        <v>117</v>
      </c>
      <c r="F370" s="0" t="n">
        <f aca="false">SUMIFS(출고!$F$2:$F$1167,출고!$B$2:$B$1167,B370,출고!$C$2:$C$1167,C370)/SUMIFS(출고!$D$2:$D$1167,출고!$B$2:$B$1167,B370,출고!$C$2:$C$1167,C370)</f>
        <v>11857.5775193798</v>
      </c>
      <c r="G370" s="0" t="n">
        <f aca="false">D370*F370</f>
        <v>10339807.5968992</v>
      </c>
      <c r="H370" s="0" t="n">
        <f aca="false">INDEX(마스터!$E:$E,MATCH(C370,마스터!$A:$A,0))</f>
        <v>5380</v>
      </c>
      <c r="I370" s="0" t="n">
        <f aca="false">IF(OR(E370="개정판교체",E370="파본"),0,D370*H370)</f>
        <v>4691360</v>
      </c>
    </row>
    <row r="371" customFormat="false" ht="15" hidden="false" customHeight="false" outlineLevel="0" collapsed="false">
      <c r="A371" s="0" t="s">
        <v>102</v>
      </c>
      <c r="B371" s="1" t="s">
        <v>25</v>
      </c>
      <c r="C371" s="1" t="s">
        <v>47</v>
      </c>
      <c r="D371" s="0" t="n">
        <v>548</v>
      </c>
      <c r="E371" s="1" t="s">
        <v>116</v>
      </c>
      <c r="F371" s="0" t="n">
        <f aca="false">SUMIFS(출고!$F$2:$F$1167,출고!$B$2:$B$1167,B371,출고!$C$2:$C$1167,C371)/SUMIFS(출고!$D$2:$D$1167,출고!$B$2:$B$1167,B371,출고!$C$2:$C$1167,C371)</f>
        <v>9090</v>
      </c>
      <c r="G371" s="0" t="n">
        <f aca="false">D371*F371</f>
        <v>4981320</v>
      </c>
      <c r="H371" s="0" t="n">
        <f aca="false">INDEX(마스터!$E:$E,MATCH(C371,마스터!$A:$A,0))</f>
        <v>4170</v>
      </c>
      <c r="I371" s="0" t="n">
        <f aca="false">IF(OR(E371="개정판교체",E371="파본"),0,D371*H371)</f>
        <v>2285160</v>
      </c>
    </row>
    <row r="372" customFormat="false" ht="15" hidden="false" customHeight="false" outlineLevel="0" collapsed="false">
      <c r="A372" s="0" t="s">
        <v>102</v>
      </c>
      <c r="B372" s="1" t="s">
        <v>24</v>
      </c>
      <c r="C372" s="1" t="s">
        <v>41</v>
      </c>
      <c r="D372" s="0" t="n">
        <v>631</v>
      </c>
      <c r="E372" s="1" t="s">
        <v>116</v>
      </c>
      <c r="F372" s="0" t="n">
        <f aca="false">SUMIFS(출고!$F$2:$F$1167,출고!$B$2:$B$1167,B372,출고!$C$2:$C$1167,C372)/SUMIFS(출고!$D$2:$D$1167,출고!$B$2:$B$1167,B372,출고!$C$2:$C$1167,C372)</f>
        <v>11913.5556811758</v>
      </c>
      <c r="G372" s="0" t="n">
        <f aca="false">D372*F372</f>
        <v>7517453.63482193</v>
      </c>
      <c r="H372" s="0" t="n">
        <f aca="false">INDEX(마스터!$E:$E,MATCH(C372,마스터!$A:$A,0))</f>
        <v>5480</v>
      </c>
      <c r="I372" s="0" t="n">
        <f aca="false">IF(OR(E372="개정판교체",E372="파본"),0,D372*H372)</f>
        <v>3457880</v>
      </c>
    </row>
    <row r="373" customFormat="false" ht="15" hidden="false" customHeight="false" outlineLevel="0" collapsed="false">
      <c r="A373" s="0" t="s">
        <v>103</v>
      </c>
      <c r="B373" s="1" t="s">
        <v>14</v>
      </c>
      <c r="C373" s="1" t="s">
        <v>41</v>
      </c>
      <c r="D373" s="0" t="n">
        <v>6383</v>
      </c>
      <c r="E373" s="1" t="s">
        <v>120</v>
      </c>
      <c r="F373" s="0" t="n">
        <f aca="false">SUMIFS(출고!$F$2:$F$1167,출고!$B$2:$B$1167,B373,출고!$C$2:$C$1167,C373)/SUMIFS(출고!$D$2:$D$1167,출고!$B$2:$B$1167,B373,출고!$C$2:$C$1167,C373)</f>
        <v>10967.1647780925</v>
      </c>
      <c r="G373" s="0" t="n">
        <f aca="false">D373*F373</f>
        <v>70003412.7785647</v>
      </c>
      <c r="H373" s="0" t="n">
        <f aca="false">INDEX(마스터!$E:$E,MATCH(C373,마스터!$A:$A,0))</f>
        <v>5480</v>
      </c>
      <c r="I373" s="0" t="n">
        <f aca="false">IF(OR(E373="개정판교체",E373="파본"),0,D373*H373)</f>
        <v>0</v>
      </c>
    </row>
    <row r="374" customFormat="false" ht="15" hidden="false" customHeight="false" outlineLevel="0" collapsed="false">
      <c r="A374" s="0" t="s">
        <v>103</v>
      </c>
      <c r="B374" s="1" t="s">
        <v>14</v>
      </c>
      <c r="C374" s="1" t="s">
        <v>41</v>
      </c>
      <c r="D374" s="0" t="n">
        <v>1126</v>
      </c>
      <c r="E374" s="1" t="s">
        <v>116</v>
      </c>
      <c r="F374" s="0" t="n">
        <f aca="false">SUMIFS(출고!$F$2:$F$1167,출고!$B$2:$B$1167,B374,출고!$C$2:$C$1167,C374)/SUMIFS(출고!$D$2:$D$1167,출고!$B$2:$B$1167,B374,출고!$C$2:$C$1167,C374)</f>
        <v>10967.1647780925</v>
      </c>
      <c r="G374" s="0" t="n">
        <f aca="false">D374*F374</f>
        <v>12349027.5401322</v>
      </c>
      <c r="H374" s="0" t="n">
        <f aca="false">INDEX(마스터!$E:$E,MATCH(C374,마스터!$A:$A,0))</f>
        <v>5480</v>
      </c>
      <c r="I374" s="0" t="n">
        <f aca="false">IF(OR(E374="개정판교체",E374="파본"),0,D374*H374)</f>
        <v>6170480</v>
      </c>
    </row>
    <row r="375" customFormat="false" ht="15" hidden="false" customHeight="false" outlineLevel="0" collapsed="false">
      <c r="A375" s="0" t="s">
        <v>103</v>
      </c>
      <c r="B375" s="1" t="s">
        <v>14</v>
      </c>
      <c r="C375" s="1" t="s">
        <v>41</v>
      </c>
      <c r="D375" s="0" t="n">
        <v>6323</v>
      </c>
      <c r="E375" s="1" t="s">
        <v>117</v>
      </c>
      <c r="F375" s="0" t="n">
        <f aca="false">SUMIFS(출고!$F$2:$F$1167,출고!$B$2:$B$1167,B375,출고!$C$2:$C$1167,C375)/SUMIFS(출고!$D$2:$D$1167,출고!$B$2:$B$1167,B375,출고!$C$2:$C$1167,C375)</f>
        <v>10967.1647780925</v>
      </c>
      <c r="G375" s="0" t="n">
        <f aca="false">D375*F375</f>
        <v>69345382.8918791</v>
      </c>
      <c r="H375" s="0" t="n">
        <f aca="false">INDEX(마스터!$E:$E,MATCH(C375,마스터!$A:$A,0))</f>
        <v>5480</v>
      </c>
      <c r="I375" s="0" t="n">
        <f aca="false">IF(OR(E375="개정판교체",E375="파본"),0,D375*H375)</f>
        <v>34650040</v>
      </c>
    </row>
    <row r="376" customFormat="false" ht="15" hidden="false" customHeight="false" outlineLevel="0" collapsed="false">
      <c r="A376" s="0" t="s">
        <v>103</v>
      </c>
      <c r="B376" s="1" t="s">
        <v>14</v>
      </c>
      <c r="C376" s="1" t="s">
        <v>44</v>
      </c>
      <c r="D376" s="0" t="n">
        <v>3498</v>
      </c>
      <c r="E376" s="1" t="s">
        <v>117</v>
      </c>
      <c r="F376" s="0" t="n">
        <f aca="false">SUMIFS(출고!$F$2:$F$1167,출고!$B$2:$B$1167,B376,출고!$C$2:$C$1167,C376)/SUMIFS(출고!$D$2:$D$1167,출고!$B$2:$B$1167,B376,출고!$C$2:$C$1167,C376)</f>
        <v>10956.5173836182</v>
      </c>
      <c r="G376" s="0" t="n">
        <f aca="false">D376*F376</f>
        <v>38325897.8078963</v>
      </c>
      <c r="H376" s="0" t="n">
        <f aca="false">INDEX(마스터!$E:$E,MATCH(C376,마스터!$A:$A,0))</f>
        <v>5500</v>
      </c>
      <c r="I376" s="0" t="n">
        <f aca="false">IF(OR(E376="개정판교체",E376="파본"),0,D376*H376)</f>
        <v>19239000</v>
      </c>
    </row>
    <row r="377" customFormat="false" ht="15" hidden="false" customHeight="false" outlineLevel="0" collapsed="false">
      <c r="A377" s="0" t="s">
        <v>103</v>
      </c>
      <c r="B377" s="1" t="s">
        <v>15</v>
      </c>
      <c r="C377" s="1" t="s">
        <v>37</v>
      </c>
      <c r="D377" s="0" t="n">
        <v>1408</v>
      </c>
      <c r="E377" s="1" t="s">
        <v>116</v>
      </c>
      <c r="F377" s="0" t="n">
        <f aca="false">SUMIFS(출고!$F$2:$F$1167,출고!$B$2:$B$1167,B377,출고!$C$2:$C$1167,C377)/SUMIFS(출고!$D$2:$D$1167,출고!$B$2:$B$1167,B377,출고!$C$2:$C$1167,C377)</f>
        <v>9748.36139435618</v>
      </c>
      <c r="G377" s="0" t="n">
        <f aca="false">D377*F377</f>
        <v>13725692.8432535</v>
      </c>
      <c r="H377" s="0" t="n">
        <f aca="false">INDEX(마스터!$E:$E,MATCH(C377,마스터!$A:$A,0))</f>
        <v>4900</v>
      </c>
      <c r="I377" s="0" t="n">
        <f aca="false">IF(OR(E377="개정판교체",E377="파본"),0,D377*H377)</f>
        <v>6899200</v>
      </c>
    </row>
    <row r="378" customFormat="false" ht="15" hidden="false" customHeight="false" outlineLevel="0" collapsed="false">
      <c r="A378" s="0" t="s">
        <v>103</v>
      </c>
      <c r="B378" s="1" t="s">
        <v>15</v>
      </c>
      <c r="C378" s="1" t="s">
        <v>41</v>
      </c>
      <c r="D378" s="0" t="n">
        <v>3853</v>
      </c>
      <c r="E378" s="1" t="s">
        <v>120</v>
      </c>
      <c r="F378" s="0" t="n">
        <f aca="false">SUMIFS(출고!$F$2:$F$1167,출고!$B$2:$B$1167,B378,출고!$C$2:$C$1167,C378)/SUMIFS(출고!$D$2:$D$1167,출고!$B$2:$B$1167,B378,출고!$C$2:$C$1167,C378)</f>
        <v>11054.3527392362</v>
      </c>
      <c r="G378" s="0" t="n">
        <f aca="false">D378*F378</f>
        <v>42592421.1042769</v>
      </c>
      <c r="H378" s="0" t="n">
        <f aca="false">INDEX(마스터!$E:$E,MATCH(C378,마스터!$A:$A,0))</f>
        <v>5480</v>
      </c>
      <c r="I378" s="0" t="n">
        <f aca="false">IF(OR(E378="개정판교체",E378="파본"),0,D378*H378)</f>
        <v>0</v>
      </c>
    </row>
    <row r="379" customFormat="false" ht="15" hidden="false" customHeight="false" outlineLevel="0" collapsed="false">
      <c r="A379" s="0" t="s">
        <v>103</v>
      </c>
      <c r="B379" s="1" t="s">
        <v>15</v>
      </c>
      <c r="C379" s="1" t="s">
        <v>41</v>
      </c>
      <c r="D379" s="0" t="n">
        <v>1929</v>
      </c>
      <c r="E379" s="1" t="s">
        <v>116</v>
      </c>
      <c r="F379" s="0" t="n">
        <f aca="false">SUMIFS(출고!$F$2:$F$1167,출고!$B$2:$B$1167,B379,출고!$C$2:$C$1167,C379)/SUMIFS(출고!$D$2:$D$1167,출고!$B$2:$B$1167,B379,출고!$C$2:$C$1167,C379)</f>
        <v>11054.3527392362</v>
      </c>
      <c r="G379" s="0" t="n">
        <f aca="false">D379*F379</f>
        <v>21323846.4339866</v>
      </c>
      <c r="H379" s="0" t="n">
        <f aca="false">INDEX(마스터!$E:$E,MATCH(C379,마스터!$A:$A,0))</f>
        <v>5480</v>
      </c>
      <c r="I379" s="0" t="n">
        <f aca="false">IF(OR(E379="개정판교체",E379="파본"),0,D379*H379)</f>
        <v>10570920</v>
      </c>
    </row>
    <row r="380" customFormat="false" ht="15" hidden="false" customHeight="false" outlineLevel="0" collapsed="false">
      <c r="A380" s="0" t="s">
        <v>103</v>
      </c>
      <c r="B380" s="1" t="s">
        <v>16</v>
      </c>
      <c r="C380" s="1" t="s">
        <v>37</v>
      </c>
      <c r="D380" s="0" t="n">
        <v>774</v>
      </c>
      <c r="E380" s="1" t="s">
        <v>116</v>
      </c>
      <c r="F380" s="0" t="n">
        <f aca="false">SUMIFS(출고!$F$2:$F$1167,출고!$B$2:$B$1167,B380,출고!$C$2:$C$1167,C380)/SUMIFS(출고!$D$2:$D$1167,출고!$B$2:$B$1167,B380,출고!$C$2:$C$1167,C380)</f>
        <v>10591.9204222493</v>
      </c>
      <c r="G380" s="0" t="n">
        <f aca="false">D380*F380</f>
        <v>8198146.40682095</v>
      </c>
      <c r="H380" s="0" t="n">
        <f aca="false">INDEX(마스터!$E:$E,MATCH(C380,마스터!$A:$A,0))</f>
        <v>4900</v>
      </c>
      <c r="I380" s="0" t="n">
        <f aca="false">IF(OR(E380="개정판교체",E380="파본"),0,D380*H380)</f>
        <v>3792600</v>
      </c>
    </row>
    <row r="381" customFormat="false" ht="15" hidden="false" customHeight="false" outlineLevel="0" collapsed="false">
      <c r="A381" s="0" t="s">
        <v>103</v>
      </c>
      <c r="B381" s="1" t="s">
        <v>16</v>
      </c>
      <c r="C381" s="1" t="s">
        <v>38</v>
      </c>
      <c r="D381" s="0" t="n">
        <v>752</v>
      </c>
      <c r="E381" s="1" t="s">
        <v>116</v>
      </c>
      <c r="F381" s="0" t="n">
        <f aca="false">SUMIFS(출고!$F$2:$F$1167,출고!$B$2:$B$1167,B381,출고!$C$2:$C$1167,C381)/SUMIFS(출고!$D$2:$D$1167,출고!$B$2:$B$1167,B381,출고!$C$2:$C$1167,C381)</f>
        <v>12452.79296875</v>
      </c>
      <c r="G381" s="0" t="n">
        <f aca="false">D381*F381</f>
        <v>9364500.3125</v>
      </c>
      <c r="H381" s="0" t="n">
        <f aca="false">INDEX(마스터!$E:$E,MATCH(C381,마스터!$A:$A,0))</f>
        <v>5670</v>
      </c>
      <c r="I381" s="0" t="n">
        <f aca="false">IF(OR(E381="개정판교체",E381="파본"),0,D381*H381)</f>
        <v>4263840</v>
      </c>
    </row>
    <row r="382" customFormat="false" ht="15" hidden="false" customHeight="false" outlineLevel="0" collapsed="false">
      <c r="A382" s="0" t="s">
        <v>103</v>
      </c>
      <c r="B382" s="1" t="s">
        <v>16</v>
      </c>
      <c r="C382" s="1" t="s">
        <v>41</v>
      </c>
      <c r="D382" s="0" t="n">
        <v>1614</v>
      </c>
      <c r="E382" s="1" t="s">
        <v>120</v>
      </c>
      <c r="F382" s="0" t="n">
        <f aca="false">SUMIFS(출고!$F$2:$F$1167,출고!$B$2:$B$1167,B382,출고!$C$2:$C$1167,C382)/SUMIFS(출고!$D$2:$D$1167,출고!$B$2:$B$1167,B382,출고!$C$2:$C$1167,C382)</f>
        <v>12005.6088560886</v>
      </c>
      <c r="G382" s="0" t="n">
        <f aca="false">D382*F382</f>
        <v>19377052.6937269</v>
      </c>
      <c r="H382" s="0" t="n">
        <f aca="false">INDEX(마스터!$E:$E,MATCH(C382,마스터!$A:$A,0))</f>
        <v>5480</v>
      </c>
      <c r="I382" s="0" t="n">
        <f aca="false">IF(OR(E382="개정판교체",E382="파본"),0,D382*H382)</f>
        <v>0</v>
      </c>
    </row>
    <row r="383" customFormat="false" ht="15" hidden="false" customHeight="false" outlineLevel="0" collapsed="false">
      <c r="A383" s="0" t="s">
        <v>103</v>
      </c>
      <c r="B383" s="1" t="s">
        <v>16</v>
      </c>
      <c r="C383" s="1" t="s">
        <v>60</v>
      </c>
      <c r="D383" s="0" t="n">
        <v>907</v>
      </c>
      <c r="E383" s="1" t="s">
        <v>116</v>
      </c>
      <c r="F383" s="0" t="n">
        <f aca="false">SUMIFS(출고!$F$2:$F$1167,출고!$B$2:$B$1167,B383,출고!$C$2:$C$1167,C383)/SUMIFS(출고!$D$2:$D$1167,출고!$B$2:$B$1167,B383,출고!$C$2:$C$1167,C383)</f>
        <v>13678.7338910242</v>
      </c>
      <c r="G383" s="0" t="n">
        <f aca="false">D383*F383</f>
        <v>12406611.6391589</v>
      </c>
      <c r="H383" s="0" t="n">
        <f aca="false">INDEX(마스터!$E:$E,MATCH(C383,마스터!$A:$A,0))</f>
        <v>6980</v>
      </c>
      <c r="I383" s="0" t="n">
        <f aca="false">IF(OR(E383="개정판교체",E383="파본"),0,D383*H383)</f>
        <v>6330860</v>
      </c>
    </row>
    <row r="384" customFormat="false" ht="15" hidden="false" customHeight="false" outlineLevel="0" collapsed="false">
      <c r="A384" s="0" t="s">
        <v>103</v>
      </c>
      <c r="B384" s="1" t="s">
        <v>17</v>
      </c>
      <c r="C384" s="1" t="s">
        <v>41</v>
      </c>
      <c r="D384" s="0" t="n">
        <v>2671</v>
      </c>
      <c r="E384" s="1" t="s">
        <v>120</v>
      </c>
      <c r="F384" s="0" t="n">
        <f aca="false">SUMIFS(출고!$F$2:$F$1167,출고!$B$2:$B$1167,B384,출고!$C$2:$C$1167,C384)/SUMIFS(출고!$D$2:$D$1167,출고!$B$2:$B$1167,B384,출고!$C$2:$C$1167,C384)</f>
        <v>10955.0155508266</v>
      </c>
      <c r="G384" s="0" t="n">
        <f aca="false">D384*F384</f>
        <v>29260846.536258</v>
      </c>
      <c r="H384" s="0" t="n">
        <f aca="false">INDEX(마스터!$E:$E,MATCH(C384,마스터!$A:$A,0))</f>
        <v>5480</v>
      </c>
      <c r="I384" s="0" t="n">
        <f aca="false">IF(OR(E384="개정판교체",E384="파본"),0,D384*H384)</f>
        <v>0</v>
      </c>
    </row>
    <row r="385" customFormat="false" ht="15" hidden="false" customHeight="false" outlineLevel="0" collapsed="false">
      <c r="A385" s="0" t="s">
        <v>103</v>
      </c>
      <c r="B385" s="1" t="s">
        <v>17</v>
      </c>
      <c r="C385" s="1" t="s">
        <v>41</v>
      </c>
      <c r="D385" s="0" t="n">
        <v>471</v>
      </c>
      <c r="E385" s="1" t="s">
        <v>116</v>
      </c>
      <c r="F385" s="0" t="n">
        <f aca="false">SUMIFS(출고!$F$2:$F$1167,출고!$B$2:$B$1167,B385,출고!$C$2:$C$1167,C385)/SUMIFS(출고!$D$2:$D$1167,출고!$B$2:$B$1167,B385,출고!$C$2:$C$1167,C385)</f>
        <v>10955.0155508266</v>
      </c>
      <c r="G385" s="0" t="n">
        <f aca="false">D385*F385</f>
        <v>5159812.32443935</v>
      </c>
      <c r="H385" s="0" t="n">
        <f aca="false">INDEX(마스터!$E:$E,MATCH(C385,마스터!$A:$A,0))</f>
        <v>5480</v>
      </c>
      <c r="I385" s="0" t="n">
        <f aca="false">IF(OR(E385="개정판교체",E385="파본"),0,D385*H385)</f>
        <v>2581080</v>
      </c>
    </row>
    <row r="386" customFormat="false" ht="15" hidden="false" customHeight="false" outlineLevel="0" collapsed="false">
      <c r="A386" s="0" t="s">
        <v>103</v>
      </c>
      <c r="B386" s="1" t="s">
        <v>17</v>
      </c>
      <c r="C386" s="1" t="s">
        <v>51</v>
      </c>
      <c r="D386" s="0" t="n">
        <v>1021</v>
      </c>
      <c r="E386" s="1" t="s">
        <v>116</v>
      </c>
      <c r="F386" s="0" t="n">
        <f aca="false">SUMIFS(출고!$F$2:$F$1167,출고!$B$2:$B$1167,B386,출고!$C$2:$C$1167,C386)/SUMIFS(출고!$D$2:$D$1167,출고!$B$2:$B$1167,B386,출고!$C$2:$C$1167,C386)</f>
        <v>13220.4371257485</v>
      </c>
      <c r="G386" s="0" t="n">
        <f aca="false">D386*F386</f>
        <v>13498066.3053892</v>
      </c>
      <c r="H386" s="0" t="n">
        <f aca="false">INDEX(마스터!$E:$E,MATCH(C386,마스터!$A:$A,0))</f>
        <v>7480</v>
      </c>
      <c r="I386" s="0" t="n">
        <f aca="false">IF(OR(E386="개정판교체",E386="파본"),0,D386*H386)</f>
        <v>7637080</v>
      </c>
    </row>
    <row r="387" customFormat="false" ht="15" hidden="false" customHeight="false" outlineLevel="0" collapsed="false">
      <c r="A387" s="0" t="s">
        <v>103</v>
      </c>
      <c r="B387" s="1" t="s">
        <v>17</v>
      </c>
      <c r="C387" s="1" t="s">
        <v>51</v>
      </c>
      <c r="D387" s="0" t="n">
        <v>771</v>
      </c>
      <c r="E387" s="1" t="s">
        <v>118</v>
      </c>
      <c r="F387" s="0" t="n">
        <f aca="false">SUMIFS(출고!$F$2:$F$1167,출고!$B$2:$B$1167,B387,출고!$C$2:$C$1167,C387)/SUMIFS(출고!$D$2:$D$1167,출고!$B$2:$B$1167,B387,출고!$C$2:$C$1167,C387)</f>
        <v>13220.4371257485</v>
      </c>
      <c r="G387" s="0" t="n">
        <f aca="false">D387*F387</f>
        <v>10192957.0239521</v>
      </c>
      <c r="H387" s="0" t="n">
        <f aca="false">INDEX(마스터!$E:$E,MATCH(C387,마스터!$A:$A,0))</f>
        <v>7480</v>
      </c>
      <c r="I387" s="0" t="n">
        <f aca="false">IF(OR(E387="개정판교체",E387="파본"),0,D387*H387)</f>
        <v>0</v>
      </c>
    </row>
    <row r="388" customFormat="false" ht="15" hidden="false" customHeight="false" outlineLevel="0" collapsed="false">
      <c r="A388" s="0" t="s">
        <v>103</v>
      </c>
      <c r="B388" s="1" t="s">
        <v>18</v>
      </c>
      <c r="C388" s="1" t="s">
        <v>58</v>
      </c>
      <c r="D388" s="0" t="n">
        <v>1053</v>
      </c>
      <c r="E388" s="1" t="s">
        <v>117</v>
      </c>
      <c r="F388" s="0" t="n">
        <f aca="false">SUMIFS(출고!$F$2:$F$1167,출고!$B$2:$B$1167,B388,출고!$C$2:$C$1167,C388)/SUMIFS(출고!$D$2:$D$1167,출고!$B$2:$B$1167,B388,출고!$C$2:$C$1167,C388)</f>
        <v>12008.6380072318</v>
      </c>
      <c r="G388" s="0" t="n">
        <f aca="false">D388*F388</f>
        <v>12645095.8216151</v>
      </c>
      <c r="H388" s="0" t="n">
        <f aca="false">INDEX(마스터!$E:$E,MATCH(C388,마스터!$A:$A,0))</f>
        <v>5720</v>
      </c>
      <c r="I388" s="0" t="n">
        <f aca="false">IF(OR(E388="개정판교체",E388="파본"),0,D388*H388)</f>
        <v>6023160</v>
      </c>
    </row>
    <row r="389" customFormat="false" ht="15" hidden="false" customHeight="false" outlineLevel="0" collapsed="false">
      <c r="A389" s="0" t="s">
        <v>103</v>
      </c>
      <c r="B389" s="1" t="s">
        <v>18</v>
      </c>
      <c r="C389" s="1" t="s">
        <v>41</v>
      </c>
      <c r="D389" s="0" t="n">
        <v>925</v>
      </c>
      <c r="E389" s="1" t="s">
        <v>120</v>
      </c>
      <c r="F389" s="0" t="n">
        <f aca="false">SUMIFS(출고!$F$2:$F$1167,출고!$B$2:$B$1167,B389,출고!$C$2:$C$1167,C389)/SUMIFS(출고!$D$2:$D$1167,출고!$B$2:$B$1167,B389,출고!$C$2:$C$1167,C389)</f>
        <v>11996.3969005596</v>
      </c>
      <c r="G389" s="0" t="n">
        <f aca="false">D389*F389</f>
        <v>11096667.1330177</v>
      </c>
      <c r="H389" s="0" t="n">
        <f aca="false">INDEX(마스터!$E:$E,MATCH(C389,마스터!$A:$A,0))</f>
        <v>5480</v>
      </c>
      <c r="I389" s="0" t="n">
        <f aca="false">IF(OR(E389="개정판교체",E389="파본"),0,D389*H389)</f>
        <v>0</v>
      </c>
    </row>
    <row r="390" customFormat="false" ht="15" hidden="false" customHeight="false" outlineLevel="0" collapsed="false">
      <c r="A390" s="0" t="s">
        <v>103</v>
      </c>
      <c r="B390" s="1" t="s">
        <v>18</v>
      </c>
      <c r="C390" s="1" t="s">
        <v>41</v>
      </c>
      <c r="D390" s="0" t="n">
        <v>800</v>
      </c>
      <c r="E390" s="1" t="s">
        <v>116</v>
      </c>
      <c r="F390" s="0" t="n">
        <f aca="false">SUMIFS(출고!$F$2:$F$1167,출고!$B$2:$B$1167,B390,출고!$C$2:$C$1167,C390)/SUMIFS(출고!$D$2:$D$1167,출고!$B$2:$B$1167,B390,출고!$C$2:$C$1167,C390)</f>
        <v>11996.3969005596</v>
      </c>
      <c r="G390" s="0" t="n">
        <f aca="false">D390*F390</f>
        <v>9597117.5204477</v>
      </c>
      <c r="H390" s="0" t="n">
        <f aca="false">INDEX(마스터!$E:$E,MATCH(C390,마스터!$A:$A,0))</f>
        <v>5480</v>
      </c>
      <c r="I390" s="0" t="n">
        <f aca="false">IF(OR(E390="개정판교체",E390="파본"),0,D390*H390)</f>
        <v>4384000</v>
      </c>
    </row>
    <row r="391" customFormat="false" ht="15" hidden="false" customHeight="false" outlineLevel="0" collapsed="false">
      <c r="A391" s="0" t="s">
        <v>103</v>
      </c>
      <c r="B391" s="1" t="s">
        <v>19</v>
      </c>
      <c r="C391" s="1" t="s">
        <v>41</v>
      </c>
      <c r="D391" s="0" t="n">
        <v>1793</v>
      </c>
      <c r="E391" s="1" t="s">
        <v>120</v>
      </c>
      <c r="F391" s="0" t="n">
        <f aca="false">SUMIFS(출고!$F$2:$F$1167,출고!$B$2:$B$1167,B391,출고!$C$2:$C$1167,C391)/SUMIFS(출고!$D$2:$D$1167,출고!$B$2:$B$1167,B391,출고!$C$2:$C$1167,C391)</f>
        <v>11026.8192607664</v>
      </c>
      <c r="G391" s="0" t="n">
        <f aca="false">D391*F391</f>
        <v>19771086.9345541</v>
      </c>
      <c r="H391" s="0" t="n">
        <f aca="false">INDEX(마스터!$E:$E,MATCH(C391,마스터!$A:$A,0))</f>
        <v>5480</v>
      </c>
      <c r="I391" s="0" t="n">
        <f aca="false">IF(OR(E391="개정판교체",E391="파본"),0,D391*H391)</f>
        <v>0</v>
      </c>
    </row>
    <row r="392" customFormat="false" ht="15" hidden="false" customHeight="false" outlineLevel="0" collapsed="false">
      <c r="A392" s="0" t="s">
        <v>103</v>
      </c>
      <c r="B392" s="1" t="s">
        <v>19</v>
      </c>
      <c r="C392" s="1" t="s">
        <v>41</v>
      </c>
      <c r="D392" s="0" t="n">
        <v>777</v>
      </c>
      <c r="E392" s="1" t="s">
        <v>116</v>
      </c>
      <c r="F392" s="0" t="n">
        <f aca="false">SUMIFS(출고!$F$2:$F$1167,출고!$B$2:$B$1167,B392,출고!$C$2:$C$1167,C392)/SUMIFS(출고!$D$2:$D$1167,출고!$B$2:$B$1167,B392,출고!$C$2:$C$1167,C392)</f>
        <v>11026.8192607664</v>
      </c>
      <c r="G392" s="0" t="n">
        <f aca="false">D392*F392</f>
        <v>8567838.56561546</v>
      </c>
      <c r="H392" s="0" t="n">
        <f aca="false">INDEX(마스터!$E:$E,MATCH(C392,마스터!$A:$A,0))</f>
        <v>5480</v>
      </c>
      <c r="I392" s="0" t="n">
        <f aca="false">IF(OR(E392="개정판교체",E392="파본"),0,D392*H392)</f>
        <v>4257960</v>
      </c>
    </row>
    <row r="393" customFormat="false" ht="15" hidden="false" customHeight="false" outlineLevel="0" collapsed="false">
      <c r="A393" s="0" t="s">
        <v>103</v>
      </c>
      <c r="B393" s="1" t="s">
        <v>19</v>
      </c>
      <c r="C393" s="1" t="s">
        <v>48</v>
      </c>
      <c r="D393" s="0" t="n">
        <v>486</v>
      </c>
      <c r="E393" s="1" t="s">
        <v>117</v>
      </c>
      <c r="F393" s="0" t="n">
        <f aca="false">SUMIFS(출고!$F$2:$F$1167,출고!$B$2:$B$1167,B393,출고!$C$2:$C$1167,C393)/SUMIFS(출고!$D$2:$D$1167,출고!$B$2:$B$1167,B393,출고!$C$2:$C$1167,C393)</f>
        <v>11985.0858544563</v>
      </c>
      <c r="G393" s="0" t="n">
        <f aca="false">D393*F393</f>
        <v>5824751.72526574</v>
      </c>
      <c r="H393" s="0" t="n">
        <f aca="false">INDEX(마스터!$E:$E,MATCH(C393,마스터!$A:$A,0))</f>
        <v>6440</v>
      </c>
      <c r="I393" s="0" t="n">
        <f aca="false">IF(OR(E393="개정판교체",E393="파본"),0,D393*H393)</f>
        <v>3129840</v>
      </c>
    </row>
    <row r="394" customFormat="false" ht="15" hidden="false" customHeight="false" outlineLevel="0" collapsed="false">
      <c r="A394" s="0" t="s">
        <v>103</v>
      </c>
      <c r="B394" s="1" t="s">
        <v>19</v>
      </c>
      <c r="C394" s="1" t="s">
        <v>48</v>
      </c>
      <c r="D394" s="0" t="n">
        <v>414</v>
      </c>
      <c r="E394" s="1" t="s">
        <v>118</v>
      </c>
      <c r="F394" s="0" t="n">
        <f aca="false">SUMIFS(출고!$F$2:$F$1167,출고!$B$2:$B$1167,B394,출고!$C$2:$C$1167,C394)/SUMIFS(출고!$D$2:$D$1167,출고!$B$2:$B$1167,B394,출고!$C$2:$C$1167,C394)</f>
        <v>11985.0858544563</v>
      </c>
      <c r="G394" s="0" t="n">
        <f aca="false">D394*F394</f>
        <v>4961825.54374489</v>
      </c>
      <c r="H394" s="0" t="n">
        <f aca="false">INDEX(마스터!$E:$E,MATCH(C394,마스터!$A:$A,0))</f>
        <v>6440</v>
      </c>
      <c r="I394" s="0" t="n">
        <f aca="false">IF(OR(E394="개정판교체",E394="파본"),0,D394*H394)</f>
        <v>0</v>
      </c>
    </row>
    <row r="395" customFormat="false" ht="15" hidden="false" customHeight="false" outlineLevel="0" collapsed="false">
      <c r="A395" s="0" t="s">
        <v>103</v>
      </c>
      <c r="B395" s="1" t="s">
        <v>20</v>
      </c>
      <c r="C395" s="1" t="s">
        <v>53</v>
      </c>
      <c r="D395" s="0" t="n">
        <v>505</v>
      </c>
      <c r="E395" s="1" t="s">
        <v>116</v>
      </c>
      <c r="F395" s="0" t="n">
        <f aca="false">SUMIFS(출고!$F$2:$F$1167,출고!$B$2:$B$1167,B395,출고!$C$2:$C$1167,C395)/SUMIFS(출고!$D$2:$D$1167,출고!$B$2:$B$1167,B395,출고!$C$2:$C$1167,C395)</f>
        <v>13799.321192053</v>
      </c>
      <c r="G395" s="0" t="n">
        <f aca="false">D395*F395</f>
        <v>6968657.20198675</v>
      </c>
      <c r="H395" s="0" t="n">
        <f aca="false">INDEX(마스터!$E:$E,MATCH(C395,마스터!$A:$A,0))</f>
        <v>6630</v>
      </c>
      <c r="I395" s="0" t="n">
        <f aca="false">IF(OR(E395="개정판교체",E395="파본"),0,D395*H395)</f>
        <v>3348150</v>
      </c>
    </row>
    <row r="396" customFormat="false" ht="15" hidden="false" customHeight="false" outlineLevel="0" collapsed="false">
      <c r="A396" s="0" t="s">
        <v>103</v>
      </c>
      <c r="B396" s="1" t="s">
        <v>20</v>
      </c>
      <c r="C396" s="1" t="s">
        <v>80</v>
      </c>
      <c r="D396" s="0" t="n">
        <v>578</v>
      </c>
      <c r="E396" s="1" t="s">
        <v>116</v>
      </c>
      <c r="F396" s="0" t="n">
        <f aca="false">SUMIFS(출고!$F$2:$F$1167,출고!$B$2:$B$1167,B396,출고!$C$2:$C$1167,C396)/SUMIFS(출고!$D$2:$D$1167,출고!$B$2:$B$1167,B396,출고!$C$2:$C$1167,C396)</f>
        <v>9958.56652360515</v>
      </c>
      <c r="G396" s="0" t="n">
        <f aca="false">D396*F396</f>
        <v>5756051.45064378</v>
      </c>
      <c r="H396" s="0" t="n">
        <f aca="false">INDEX(마스터!$E:$E,MATCH(C396,마스터!$A:$A,0))</f>
        <v>4690</v>
      </c>
      <c r="I396" s="0" t="n">
        <f aca="false">IF(OR(E396="개정판교체",E396="파본"),0,D396*H396)</f>
        <v>2710820</v>
      </c>
    </row>
    <row r="397" customFormat="false" ht="15" hidden="false" customHeight="false" outlineLevel="0" collapsed="false">
      <c r="A397" s="0" t="s">
        <v>103</v>
      </c>
      <c r="B397" s="1" t="s">
        <v>21</v>
      </c>
      <c r="C397" s="1" t="s">
        <v>57</v>
      </c>
      <c r="D397" s="0" t="n">
        <v>1206</v>
      </c>
      <c r="E397" s="1" t="s">
        <v>116</v>
      </c>
      <c r="F397" s="0" t="n">
        <f aca="false">SUMIFS(출고!$F$2:$F$1167,출고!$B$2:$B$1167,B397,출고!$C$2:$C$1167,C397)/SUMIFS(출고!$D$2:$D$1167,출고!$B$2:$B$1167,B397,출고!$C$2:$C$1167,C397)</f>
        <v>10509.1051995163</v>
      </c>
      <c r="G397" s="0" t="n">
        <f aca="false">D397*F397</f>
        <v>12673980.8706167</v>
      </c>
      <c r="H397" s="0" t="n">
        <f aca="false">INDEX(마스터!$E:$E,MATCH(C397,마스터!$A:$A,0))</f>
        <v>4870</v>
      </c>
      <c r="I397" s="0" t="n">
        <f aca="false">IF(OR(E397="개정판교체",E397="파본"),0,D397*H397)</f>
        <v>5873220</v>
      </c>
    </row>
    <row r="398" customFormat="false" ht="15" hidden="false" customHeight="false" outlineLevel="0" collapsed="false">
      <c r="A398" s="0" t="s">
        <v>103</v>
      </c>
      <c r="B398" s="1" t="s">
        <v>22</v>
      </c>
      <c r="C398" s="1" t="s">
        <v>77</v>
      </c>
      <c r="D398" s="0" t="n">
        <v>930</v>
      </c>
      <c r="E398" s="1" t="s">
        <v>116</v>
      </c>
      <c r="F398" s="0" t="n">
        <f aca="false">SUMIFS(출고!$F$2:$F$1167,출고!$B$2:$B$1167,B398,출고!$C$2:$C$1167,C398)/SUMIFS(출고!$D$2:$D$1167,출고!$B$2:$B$1167,B398,출고!$C$2:$C$1167,C398)</f>
        <v>11945.3144104803</v>
      </c>
      <c r="G398" s="0" t="n">
        <f aca="false">D398*F398</f>
        <v>11109142.4017467</v>
      </c>
      <c r="H398" s="0" t="n">
        <f aca="false">INDEX(마스터!$E:$E,MATCH(C398,마스터!$A:$A,0))</f>
        <v>5380</v>
      </c>
      <c r="I398" s="0" t="n">
        <f aca="false">IF(OR(E398="개정판교체",E398="파본"),0,D398*H398)</f>
        <v>5003400</v>
      </c>
    </row>
    <row r="399" customFormat="false" ht="15" hidden="false" customHeight="false" outlineLevel="0" collapsed="false">
      <c r="A399" s="0" t="s">
        <v>103</v>
      </c>
      <c r="B399" s="1" t="s">
        <v>22</v>
      </c>
      <c r="C399" s="1" t="s">
        <v>43</v>
      </c>
      <c r="D399" s="0" t="n">
        <v>679</v>
      </c>
      <c r="E399" s="1" t="s">
        <v>117</v>
      </c>
      <c r="F399" s="0" t="n">
        <f aca="false">SUMIFS(출고!$F$2:$F$1167,출고!$B$2:$B$1167,B399,출고!$C$2:$C$1167,C399)/SUMIFS(출고!$D$2:$D$1167,출고!$B$2:$B$1167,B399,출고!$C$2:$C$1167,C399)</f>
        <v>12639.8943894389</v>
      </c>
      <c r="G399" s="0" t="n">
        <f aca="false">D399*F399</f>
        <v>8582488.29042904</v>
      </c>
      <c r="H399" s="0" t="n">
        <f aca="false">INDEX(마스터!$E:$E,MATCH(C399,마스터!$A:$A,0))</f>
        <v>6350</v>
      </c>
      <c r="I399" s="0" t="n">
        <f aca="false">IF(OR(E399="개정판교체",E399="파본"),0,D399*H399)</f>
        <v>4311650</v>
      </c>
    </row>
    <row r="400" customFormat="false" ht="15" hidden="false" customHeight="false" outlineLevel="0" collapsed="false">
      <c r="A400" s="0" t="s">
        <v>103</v>
      </c>
      <c r="B400" s="1" t="s">
        <v>23</v>
      </c>
      <c r="C400" s="1" t="s">
        <v>58</v>
      </c>
      <c r="D400" s="0" t="n">
        <v>1633</v>
      </c>
      <c r="E400" s="1" t="s">
        <v>117</v>
      </c>
      <c r="F400" s="0" t="n">
        <f aca="false">SUMIFS(출고!$F$2:$F$1167,출고!$B$2:$B$1167,B400,출고!$C$2:$C$1167,C400)/SUMIFS(출고!$D$2:$D$1167,출고!$B$2:$B$1167,B400,출고!$C$2:$C$1167,C400)</f>
        <v>11866.8096054889</v>
      </c>
      <c r="G400" s="0" t="n">
        <f aca="false">D400*F400</f>
        <v>19378500.0857633</v>
      </c>
      <c r="H400" s="0" t="n">
        <f aca="false">INDEX(마스터!$E:$E,MATCH(C400,마스터!$A:$A,0))</f>
        <v>5720</v>
      </c>
      <c r="I400" s="0" t="n">
        <f aca="false">IF(OR(E400="개정판교체",E400="파본"),0,D400*H400)</f>
        <v>9340760</v>
      </c>
    </row>
    <row r="401" customFormat="false" ht="15" hidden="false" customHeight="false" outlineLevel="0" collapsed="false">
      <c r="A401" s="0" t="s">
        <v>103</v>
      </c>
      <c r="B401" s="1" t="s">
        <v>25</v>
      </c>
      <c r="C401" s="1" t="s">
        <v>60</v>
      </c>
      <c r="D401" s="0" t="n">
        <v>1272</v>
      </c>
      <c r="E401" s="1" t="s">
        <v>118</v>
      </c>
      <c r="F401" s="0" t="n">
        <f aca="false">SUMIFS(출고!$F$2:$F$1167,출고!$B$2:$B$1167,B401,출고!$C$2:$C$1167,C401)/SUMIFS(출고!$D$2:$D$1167,출고!$B$2:$B$1167,B401,출고!$C$2:$C$1167,C401)</f>
        <v>13651.7279626386</v>
      </c>
      <c r="G401" s="0" t="n">
        <f aca="false">D401*F401</f>
        <v>17364997.9684764</v>
      </c>
      <c r="H401" s="0" t="n">
        <f aca="false">INDEX(마스터!$E:$E,MATCH(C401,마스터!$A:$A,0))</f>
        <v>6980</v>
      </c>
      <c r="I401" s="0" t="n">
        <f aca="false">IF(OR(E401="개정판교체",E401="파본"),0,D401*H401)</f>
        <v>0</v>
      </c>
    </row>
    <row r="402" customFormat="false" ht="15" hidden="false" customHeight="false" outlineLevel="0" collapsed="false">
      <c r="A402" s="0" t="s">
        <v>103</v>
      </c>
      <c r="B402" s="1" t="s">
        <v>24</v>
      </c>
      <c r="C402" s="1" t="s">
        <v>41</v>
      </c>
      <c r="D402" s="0" t="n">
        <v>1143</v>
      </c>
      <c r="E402" s="1" t="s">
        <v>116</v>
      </c>
      <c r="F402" s="0" t="n">
        <f aca="false">SUMIFS(출고!$F$2:$F$1167,출고!$B$2:$B$1167,B402,출고!$C$2:$C$1167,C402)/SUMIFS(출고!$D$2:$D$1167,출고!$B$2:$B$1167,B402,출고!$C$2:$C$1167,C402)</f>
        <v>11913.5556811758</v>
      </c>
      <c r="G402" s="0" t="n">
        <f aca="false">D402*F402</f>
        <v>13617194.1435839</v>
      </c>
      <c r="H402" s="0" t="n">
        <f aca="false">INDEX(마스터!$E:$E,MATCH(C402,마스터!$A:$A,0))</f>
        <v>5480</v>
      </c>
      <c r="I402" s="0" t="n">
        <f aca="false">IF(OR(E402="개정판교체",E402="파본"),0,D402*H402)</f>
        <v>6263640</v>
      </c>
    </row>
    <row r="403" customFormat="false" ht="15" hidden="false" customHeight="false" outlineLevel="0" collapsed="false">
      <c r="A403" s="0" t="s">
        <v>104</v>
      </c>
      <c r="B403" s="1" t="s">
        <v>14</v>
      </c>
      <c r="C403" s="1" t="s">
        <v>45</v>
      </c>
      <c r="D403" s="0" t="n">
        <v>4371</v>
      </c>
      <c r="E403" s="1" t="s">
        <v>116</v>
      </c>
      <c r="F403" s="0" t="n">
        <f aca="false">SUMIFS(출고!$F$2:$F$1167,출고!$B$2:$B$1167,B403,출고!$C$2:$C$1167,C403)/SUMIFS(출고!$D$2:$D$1167,출고!$B$2:$B$1167,B403,출고!$C$2:$C$1167,C403)</f>
        <v>11925.6097560976</v>
      </c>
      <c r="G403" s="0" t="n">
        <f aca="false">D403*F403</f>
        <v>52126840.2439024</v>
      </c>
      <c r="H403" s="0" t="n">
        <f aca="false">INDEX(마스터!$E:$E,MATCH(C403,마스터!$A:$A,0))</f>
        <v>6110</v>
      </c>
      <c r="I403" s="0" t="n">
        <f aca="false">IF(OR(E403="개정판교체",E403="파본"),0,D403*H403)</f>
        <v>26706810</v>
      </c>
    </row>
    <row r="404" customFormat="false" ht="15" hidden="false" customHeight="false" outlineLevel="0" collapsed="false">
      <c r="A404" s="0" t="s">
        <v>104</v>
      </c>
      <c r="B404" s="1" t="s">
        <v>14</v>
      </c>
      <c r="C404" s="1" t="s">
        <v>41</v>
      </c>
      <c r="D404" s="0" t="n">
        <v>5585</v>
      </c>
      <c r="E404" s="1" t="s">
        <v>120</v>
      </c>
      <c r="F404" s="0" t="n">
        <f aca="false">SUMIFS(출고!$F$2:$F$1167,출고!$B$2:$B$1167,B404,출고!$C$2:$C$1167,C404)/SUMIFS(출고!$D$2:$D$1167,출고!$B$2:$B$1167,B404,출고!$C$2:$C$1167,C404)</f>
        <v>10967.1647780925</v>
      </c>
      <c r="G404" s="0" t="n">
        <f aca="false">D404*F404</f>
        <v>61251615.2856468</v>
      </c>
      <c r="H404" s="0" t="n">
        <f aca="false">INDEX(마스터!$E:$E,MATCH(C404,마스터!$A:$A,0))</f>
        <v>5480</v>
      </c>
      <c r="I404" s="0" t="n">
        <f aca="false">IF(OR(E404="개정판교체",E404="파본"),0,D404*H404)</f>
        <v>0</v>
      </c>
    </row>
    <row r="405" customFormat="false" ht="15" hidden="false" customHeight="false" outlineLevel="0" collapsed="false">
      <c r="A405" s="0" t="s">
        <v>104</v>
      </c>
      <c r="B405" s="1" t="s">
        <v>14</v>
      </c>
      <c r="C405" s="1" t="s">
        <v>41</v>
      </c>
      <c r="D405" s="0" t="n">
        <v>4844</v>
      </c>
      <c r="E405" s="1" t="s">
        <v>116</v>
      </c>
      <c r="F405" s="0" t="n">
        <f aca="false">SUMIFS(출고!$F$2:$F$1167,출고!$B$2:$B$1167,B405,출고!$C$2:$C$1167,C405)/SUMIFS(출고!$D$2:$D$1167,출고!$B$2:$B$1167,B405,출고!$C$2:$C$1167,C405)</f>
        <v>10967.1647780925</v>
      </c>
      <c r="G405" s="0" t="n">
        <f aca="false">D405*F405</f>
        <v>53124946.1850803</v>
      </c>
      <c r="H405" s="0" t="n">
        <f aca="false">INDEX(마스터!$E:$E,MATCH(C405,마스터!$A:$A,0))</f>
        <v>5480</v>
      </c>
      <c r="I405" s="0" t="n">
        <f aca="false">IF(OR(E405="개정판교체",E405="파본"),0,D405*H405)</f>
        <v>26545120</v>
      </c>
    </row>
    <row r="406" customFormat="false" ht="15" hidden="false" customHeight="false" outlineLevel="0" collapsed="false">
      <c r="A406" s="0" t="s">
        <v>104</v>
      </c>
      <c r="B406" s="1" t="s">
        <v>14</v>
      </c>
      <c r="C406" s="1" t="s">
        <v>46</v>
      </c>
      <c r="D406" s="0" t="n">
        <v>3568</v>
      </c>
      <c r="E406" s="1" t="s">
        <v>117</v>
      </c>
      <c r="F406" s="0" t="n">
        <f aca="false">SUMIFS(출고!$F$2:$F$1167,출고!$B$2:$B$1167,B406,출고!$C$2:$C$1167,C406)/SUMIFS(출고!$D$2:$D$1167,출고!$B$2:$B$1167,B406,출고!$C$2:$C$1167,C406)</f>
        <v>13222.0212401507</v>
      </c>
      <c r="G406" s="0" t="n">
        <f aca="false">D406*F406</f>
        <v>47176171.7848578</v>
      </c>
      <c r="H406" s="0" t="n">
        <f aca="false">INDEX(마스터!$E:$E,MATCH(C406,마스터!$A:$A,0))</f>
        <v>6910</v>
      </c>
      <c r="I406" s="0" t="n">
        <f aca="false">IF(OR(E406="개정판교체",E406="파본"),0,D406*H406)</f>
        <v>24654880</v>
      </c>
    </row>
    <row r="407" customFormat="false" ht="15" hidden="false" customHeight="false" outlineLevel="0" collapsed="false">
      <c r="A407" s="0" t="s">
        <v>104</v>
      </c>
      <c r="B407" s="1" t="s">
        <v>14</v>
      </c>
      <c r="C407" s="1" t="s">
        <v>55</v>
      </c>
      <c r="D407" s="0" t="n">
        <v>2072</v>
      </c>
      <c r="E407" s="1" t="s">
        <v>116</v>
      </c>
      <c r="F407" s="0" t="n">
        <f aca="false">SUMIFS(출고!$F$2:$F$1167,출고!$B$2:$B$1167,B407,출고!$C$2:$C$1167,C407)/SUMIFS(출고!$D$2:$D$1167,출고!$B$2:$B$1167,B407,출고!$C$2:$C$1167,C407)</f>
        <v>11936.2885420632</v>
      </c>
      <c r="G407" s="0" t="n">
        <f aca="false">D407*F407</f>
        <v>24731989.8591549</v>
      </c>
      <c r="H407" s="0" t="n">
        <f aca="false">INDEX(마스터!$E:$E,MATCH(C407,마스터!$A:$A,0))</f>
        <v>6040</v>
      </c>
      <c r="I407" s="0" t="n">
        <f aca="false">IF(OR(E407="개정판교체",E407="파본"),0,D407*H407)</f>
        <v>12514880</v>
      </c>
    </row>
    <row r="408" customFormat="false" ht="15" hidden="false" customHeight="false" outlineLevel="0" collapsed="false">
      <c r="A408" s="0" t="s">
        <v>104</v>
      </c>
      <c r="B408" s="1" t="s">
        <v>14</v>
      </c>
      <c r="C408" s="1" t="s">
        <v>55</v>
      </c>
      <c r="D408" s="0" t="n">
        <v>1115</v>
      </c>
      <c r="E408" s="1" t="s">
        <v>118</v>
      </c>
      <c r="F408" s="0" t="n">
        <f aca="false">SUMIFS(출고!$F$2:$F$1167,출고!$B$2:$B$1167,B408,출고!$C$2:$C$1167,C408)/SUMIFS(출고!$D$2:$D$1167,출고!$B$2:$B$1167,B408,출고!$C$2:$C$1167,C408)</f>
        <v>11936.2885420632</v>
      </c>
      <c r="G408" s="0" t="n">
        <f aca="false">D408*F408</f>
        <v>13308961.7244005</v>
      </c>
      <c r="H408" s="0" t="n">
        <f aca="false">INDEX(마스터!$E:$E,MATCH(C408,마스터!$A:$A,0))</f>
        <v>6040</v>
      </c>
      <c r="I408" s="0" t="n">
        <f aca="false">IF(OR(E408="개정판교체",E408="파본"),0,D408*H408)</f>
        <v>0</v>
      </c>
    </row>
    <row r="409" customFormat="false" ht="15" hidden="false" customHeight="false" outlineLevel="0" collapsed="false">
      <c r="A409" s="0" t="s">
        <v>104</v>
      </c>
      <c r="B409" s="1" t="s">
        <v>14</v>
      </c>
      <c r="C409" s="1" t="s">
        <v>43</v>
      </c>
      <c r="D409" s="0" t="n">
        <v>3083</v>
      </c>
      <c r="E409" s="1" t="s">
        <v>116</v>
      </c>
      <c r="F409" s="0" t="n">
        <f aca="false">SUMIFS(출고!$F$2:$F$1167,출고!$B$2:$B$1167,B409,출고!$C$2:$C$1167,C409)/SUMIFS(출고!$D$2:$D$1167,출고!$B$2:$B$1167,B409,출고!$C$2:$C$1167,C409)</f>
        <v>11592.4865446717</v>
      </c>
      <c r="G409" s="0" t="n">
        <f aca="false">D409*F409</f>
        <v>35739636.0172228</v>
      </c>
      <c r="H409" s="0" t="n">
        <f aca="false">INDEX(마스터!$E:$E,MATCH(C409,마스터!$A:$A,0))</f>
        <v>6350</v>
      </c>
      <c r="I409" s="0" t="n">
        <f aca="false">IF(OR(E409="개정판교체",E409="파본"),0,D409*H409)</f>
        <v>19577050</v>
      </c>
    </row>
    <row r="410" customFormat="false" ht="15" hidden="false" customHeight="false" outlineLevel="0" collapsed="false">
      <c r="A410" s="0" t="s">
        <v>104</v>
      </c>
      <c r="B410" s="1" t="s">
        <v>15</v>
      </c>
      <c r="C410" s="1" t="s">
        <v>37</v>
      </c>
      <c r="D410" s="0" t="n">
        <v>1061</v>
      </c>
      <c r="E410" s="1" t="s">
        <v>116</v>
      </c>
      <c r="F410" s="0" t="n">
        <f aca="false">SUMIFS(출고!$F$2:$F$1167,출고!$B$2:$B$1167,B410,출고!$C$2:$C$1167,C410)/SUMIFS(출고!$D$2:$D$1167,출고!$B$2:$B$1167,B410,출고!$C$2:$C$1167,C410)</f>
        <v>9748.36139435618</v>
      </c>
      <c r="G410" s="0" t="n">
        <f aca="false">D410*F410</f>
        <v>10343011.4394119</v>
      </c>
      <c r="H410" s="0" t="n">
        <f aca="false">INDEX(마스터!$E:$E,MATCH(C410,마스터!$A:$A,0))</f>
        <v>4900</v>
      </c>
      <c r="I410" s="0" t="n">
        <f aca="false">IF(OR(E410="개정판교체",E410="파본"),0,D410*H410)</f>
        <v>5198900</v>
      </c>
    </row>
    <row r="411" customFormat="false" ht="15" hidden="false" customHeight="false" outlineLevel="0" collapsed="false">
      <c r="A411" s="0" t="s">
        <v>104</v>
      </c>
      <c r="B411" s="1" t="s">
        <v>15</v>
      </c>
      <c r="C411" s="1" t="s">
        <v>37</v>
      </c>
      <c r="D411" s="0" t="n">
        <v>1030</v>
      </c>
      <c r="E411" s="1" t="s">
        <v>117</v>
      </c>
      <c r="F411" s="0" t="n">
        <f aca="false">SUMIFS(출고!$F$2:$F$1167,출고!$B$2:$B$1167,B411,출고!$C$2:$C$1167,C411)/SUMIFS(출고!$D$2:$D$1167,출고!$B$2:$B$1167,B411,출고!$C$2:$C$1167,C411)</f>
        <v>9748.36139435618</v>
      </c>
      <c r="G411" s="0" t="n">
        <f aca="false">D411*F411</f>
        <v>10040812.2361869</v>
      </c>
      <c r="H411" s="0" t="n">
        <f aca="false">INDEX(마스터!$E:$E,MATCH(C411,마스터!$A:$A,0))</f>
        <v>4900</v>
      </c>
      <c r="I411" s="0" t="n">
        <f aca="false">IF(OR(E411="개정판교체",E411="파본"),0,D411*H411)</f>
        <v>5047000</v>
      </c>
    </row>
    <row r="412" customFormat="false" ht="15" hidden="false" customHeight="false" outlineLevel="0" collapsed="false">
      <c r="A412" s="0" t="s">
        <v>104</v>
      </c>
      <c r="B412" s="1" t="s">
        <v>15</v>
      </c>
      <c r="C412" s="1" t="s">
        <v>41</v>
      </c>
      <c r="D412" s="0" t="n">
        <v>3372</v>
      </c>
      <c r="E412" s="1" t="s">
        <v>120</v>
      </c>
      <c r="F412" s="0" t="n">
        <f aca="false">SUMIFS(출고!$F$2:$F$1167,출고!$B$2:$B$1167,B412,출고!$C$2:$C$1167,C412)/SUMIFS(출고!$D$2:$D$1167,출고!$B$2:$B$1167,B412,출고!$C$2:$C$1167,C412)</f>
        <v>11054.3527392362</v>
      </c>
      <c r="G412" s="0" t="n">
        <f aca="false">D412*F412</f>
        <v>37275277.4367043</v>
      </c>
      <c r="H412" s="0" t="n">
        <f aca="false">INDEX(마스터!$E:$E,MATCH(C412,마스터!$A:$A,0))</f>
        <v>5480</v>
      </c>
      <c r="I412" s="0" t="n">
        <f aca="false">IF(OR(E412="개정판교체",E412="파본"),0,D412*H412)</f>
        <v>0</v>
      </c>
    </row>
    <row r="413" customFormat="false" ht="15" hidden="false" customHeight="false" outlineLevel="0" collapsed="false">
      <c r="A413" s="0" t="s">
        <v>104</v>
      </c>
      <c r="B413" s="1" t="s">
        <v>15</v>
      </c>
      <c r="C413" s="1" t="s">
        <v>41</v>
      </c>
      <c r="D413" s="0" t="n">
        <v>595</v>
      </c>
      <c r="E413" s="1" t="s">
        <v>116</v>
      </c>
      <c r="F413" s="0" t="n">
        <f aca="false">SUMIFS(출고!$F$2:$F$1167,출고!$B$2:$B$1167,B413,출고!$C$2:$C$1167,C413)/SUMIFS(출고!$D$2:$D$1167,출고!$B$2:$B$1167,B413,출고!$C$2:$C$1167,C413)</f>
        <v>11054.3527392362</v>
      </c>
      <c r="G413" s="0" t="n">
        <f aca="false">D413*F413</f>
        <v>6577339.87984552</v>
      </c>
      <c r="H413" s="0" t="n">
        <f aca="false">INDEX(마스터!$E:$E,MATCH(C413,마스터!$A:$A,0))</f>
        <v>5480</v>
      </c>
      <c r="I413" s="0" t="n">
        <f aca="false">IF(OR(E413="개정판교체",E413="파본"),0,D413*H413)</f>
        <v>3260600</v>
      </c>
    </row>
    <row r="414" customFormat="false" ht="15" hidden="false" customHeight="false" outlineLevel="0" collapsed="false">
      <c r="A414" s="0" t="s">
        <v>104</v>
      </c>
      <c r="B414" s="1" t="s">
        <v>15</v>
      </c>
      <c r="C414" s="1" t="s">
        <v>65</v>
      </c>
      <c r="D414" s="0" t="n">
        <v>642</v>
      </c>
      <c r="E414" s="1" t="s">
        <v>116</v>
      </c>
      <c r="F414" s="0" t="n">
        <f aca="false">SUMIFS(출고!$F$2:$F$1167,출고!$B$2:$B$1167,B414,출고!$C$2:$C$1167,C414)/SUMIFS(출고!$D$2:$D$1167,출고!$B$2:$B$1167,B414,출고!$C$2:$C$1167,C414)</f>
        <v>13335.8569979716</v>
      </c>
      <c r="G414" s="0" t="n">
        <f aca="false">D414*F414</f>
        <v>8561620.19269777</v>
      </c>
      <c r="H414" s="0" t="n">
        <f aca="false">INDEX(마스터!$E:$E,MATCH(C414,마스터!$A:$A,0))</f>
        <v>6670</v>
      </c>
      <c r="I414" s="0" t="n">
        <f aca="false">IF(OR(E414="개정판교체",E414="파본"),0,D414*H414)</f>
        <v>4282140</v>
      </c>
    </row>
    <row r="415" customFormat="false" ht="15" hidden="false" customHeight="false" outlineLevel="0" collapsed="false">
      <c r="A415" s="0" t="s">
        <v>104</v>
      </c>
      <c r="B415" s="1" t="s">
        <v>15</v>
      </c>
      <c r="C415" s="1" t="s">
        <v>65</v>
      </c>
      <c r="D415" s="0" t="n">
        <v>316</v>
      </c>
      <c r="E415" s="1" t="s">
        <v>118</v>
      </c>
      <c r="F415" s="0" t="n">
        <f aca="false">SUMIFS(출고!$F$2:$F$1167,출고!$B$2:$B$1167,B415,출고!$C$2:$C$1167,C415)/SUMIFS(출고!$D$2:$D$1167,출고!$B$2:$B$1167,B415,출고!$C$2:$C$1167,C415)</f>
        <v>13335.8569979716</v>
      </c>
      <c r="G415" s="0" t="n">
        <f aca="false">D415*F415</f>
        <v>4214130.81135903</v>
      </c>
      <c r="H415" s="0" t="n">
        <f aca="false">INDEX(마스터!$E:$E,MATCH(C415,마스터!$A:$A,0))</f>
        <v>6670</v>
      </c>
      <c r="I415" s="0" t="n">
        <f aca="false">IF(OR(E415="개정판교체",E415="파본"),0,D415*H415)</f>
        <v>0</v>
      </c>
    </row>
    <row r="416" customFormat="false" ht="15" hidden="false" customHeight="false" outlineLevel="0" collapsed="false">
      <c r="A416" s="0" t="s">
        <v>104</v>
      </c>
      <c r="B416" s="1" t="s">
        <v>15</v>
      </c>
      <c r="C416" s="1" t="s">
        <v>66</v>
      </c>
      <c r="D416" s="0" t="n">
        <v>1066</v>
      </c>
      <c r="E416" s="1" t="s">
        <v>117</v>
      </c>
      <c r="F416" s="0" t="n">
        <f aca="false">SUMIFS(출고!$F$2:$F$1167,출고!$B$2:$B$1167,B416,출고!$C$2:$C$1167,C416)/SUMIFS(출고!$D$2:$D$1167,출고!$B$2:$B$1167,B416,출고!$C$2:$C$1167,C416)</f>
        <v>12030.3590777372</v>
      </c>
      <c r="G416" s="0" t="n">
        <f aca="false">D416*F416</f>
        <v>12824362.7768678</v>
      </c>
      <c r="H416" s="0" t="n">
        <f aca="false">INDEX(마스터!$E:$E,MATCH(C416,마스터!$A:$A,0))</f>
        <v>6360</v>
      </c>
      <c r="I416" s="0" t="n">
        <f aca="false">IF(OR(E416="개정판교체",E416="파본"),0,D416*H416)</f>
        <v>6779760</v>
      </c>
    </row>
    <row r="417" customFormat="false" ht="15" hidden="false" customHeight="false" outlineLevel="0" collapsed="false">
      <c r="A417" s="0" t="s">
        <v>104</v>
      </c>
      <c r="B417" s="1" t="s">
        <v>16</v>
      </c>
      <c r="C417" s="1" t="s">
        <v>41</v>
      </c>
      <c r="D417" s="0" t="n">
        <v>1413</v>
      </c>
      <c r="E417" s="1" t="s">
        <v>120</v>
      </c>
      <c r="F417" s="0" t="n">
        <f aca="false">SUMIFS(출고!$F$2:$F$1167,출고!$B$2:$B$1167,B417,출고!$C$2:$C$1167,C417)/SUMIFS(출고!$D$2:$D$1167,출고!$B$2:$B$1167,B417,출고!$C$2:$C$1167,C417)</f>
        <v>12005.6088560886</v>
      </c>
      <c r="G417" s="0" t="n">
        <f aca="false">D417*F417</f>
        <v>16963925.3136531</v>
      </c>
      <c r="H417" s="0" t="n">
        <f aca="false">INDEX(마스터!$E:$E,MATCH(C417,마스터!$A:$A,0))</f>
        <v>5480</v>
      </c>
      <c r="I417" s="0" t="n">
        <f aca="false">IF(OR(E417="개정판교체",E417="파본"),0,D417*H417)</f>
        <v>0</v>
      </c>
    </row>
    <row r="418" customFormat="false" ht="15" hidden="false" customHeight="false" outlineLevel="0" collapsed="false">
      <c r="A418" s="0" t="s">
        <v>104</v>
      </c>
      <c r="B418" s="1" t="s">
        <v>16</v>
      </c>
      <c r="C418" s="1" t="s">
        <v>60</v>
      </c>
      <c r="D418" s="0" t="n">
        <v>871</v>
      </c>
      <c r="E418" s="1" t="s">
        <v>117</v>
      </c>
      <c r="F418" s="0" t="n">
        <f aca="false">SUMIFS(출고!$F$2:$F$1167,출고!$B$2:$B$1167,B418,출고!$C$2:$C$1167,C418)/SUMIFS(출고!$D$2:$D$1167,출고!$B$2:$B$1167,B418,출고!$C$2:$C$1167,C418)</f>
        <v>13678.7338910242</v>
      </c>
      <c r="G418" s="0" t="n">
        <f aca="false">D418*F418</f>
        <v>11914177.2190821</v>
      </c>
      <c r="H418" s="0" t="n">
        <f aca="false">INDEX(마스터!$E:$E,MATCH(C418,마스터!$A:$A,0))</f>
        <v>6980</v>
      </c>
      <c r="I418" s="0" t="n">
        <f aca="false">IF(OR(E418="개정판교체",E418="파본"),0,D418*H418)</f>
        <v>6079580</v>
      </c>
    </row>
    <row r="419" customFormat="false" ht="15" hidden="false" customHeight="false" outlineLevel="0" collapsed="false">
      <c r="A419" s="0" t="s">
        <v>104</v>
      </c>
      <c r="B419" s="1" t="s">
        <v>16</v>
      </c>
      <c r="C419" s="1" t="s">
        <v>71</v>
      </c>
      <c r="D419" s="0" t="n">
        <v>762</v>
      </c>
      <c r="E419" s="1" t="s">
        <v>116</v>
      </c>
      <c r="F419" s="0" t="n">
        <f aca="false">SUMIFS(출고!$F$2:$F$1167,출고!$B$2:$B$1167,B419,출고!$C$2:$C$1167,C419)/SUMIFS(출고!$D$2:$D$1167,출고!$B$2:$B$1167,B419,출고!$C$2:$C$1167,C419)</f>
        <v>9150</v>
      </c>
      <c r="G419" s="0" t="n">
        <f aca="false">D419*F419</f>
        <v>6972300</v>
      </c>
      <c r="H419" s="0" t="n">
        <f aca="false">INDEX(마스터!$E:$E,MATCH(C419,마스터!$A:$A,0))</f>
        <v>4330</v>
      </c>
      <c r="I419" s="0" t="n">
        <f aca="false">IF(OR(E419="개정판교체",E419="파본"),0,D419*H419)</f>
        <v>3299460</v>
      </c>
    </row>
    <row r="420" customFormat="false" ht="15" hidden="false" customHeight="false" outlineLevel="0" collapsed="false">
      <c r="A420" s="0" t="s">
        <v>104</v>
      </c>
      <c r="B420" s="1" t="s">
        <v>17</v>
      </c>
      <c r="C420" s="1" t="s">
        <v>41</v>
      </c>
      <c r="D420" s="0" t="n">
        <v>2337</v>
      </c>
      <c r="E420" s="1" t="s">
        <v>120</v>
      </c>
      <c r="F420" s="0" t="n">
        <f aca="false">SUMIFS(출고!$F$2:$F$1167,출고!$B$2:$B$1167,B420,출고!$C$2:$C$1167,C420)/SUMIFS(출고!$D$2:$D$1167,출고!$B$2:$B$1167,B420,출고!$C$2:$C$1167,C420)</f>
        <v>10955.0155508266</v>
      </c>
      <c r="G420" s="0" t="n">
        <f aca="false">D420*F420</f>
        <v>25601871.3422819</v>
      </c>
      <c r="H420" s="0" t="n">
        <f aca="false">INDEX(마스터!$E:$E,MATCH(C420,마스터!$A:$A,0))</f>
        <v>5480</v>
      </c>
      <c r="I420" s="0" t="n">
        <f aca="false">IF(OR(E420="개정판교체",E420="파본"),0,D420*H420)</f>
        <v>0</v>
      </c>
    </row>
    <row r="421" customFormat="false" ht="15" hidden="false" customHeight="false" outlineLevel="0" collapsed="false">
      <c r="A421" s="0" t="s">
        <v>104</v>
      </c>
      <c r="B421" s="1" t="s">
        <v>17</v>
      </c>
      <c r="C421" s="1" t="s">
        <v>41</v>
      </c>
      <c r="D421" s="0" t="n">
        <v>2307</v>
      </c>
      <c r="E421" s="1" t="s">
        <v>116</v>
      </c>
      <c r="F421" s="0" t="n">
        <f aca="false">SUMIFS(출고!$F$2:$F$1167,출고!$B$2:$B$1167,B421,출고!$C$2:$C$1167,C421)/SUMIFS(출고!$D$2:$D$1167,출고!$B$2:$B$1167,B421,출고!$C$2:$C$1167,C421)</f>
        <v>10955.0155508266</v>
      </c>
      <c r="G421" s="0" t="n">
        <f aca="false">D421*F421</f>
        <v>25273220.8757571</v>
      </c>
      <c r="H421" s="0" t="n">
        <f aca="false">INDEX(마스터!$E:$E,MATCH(C421,마스터!$A:$A,0))</f>
        <v>5480</v>
      </c>
      <c r="I421" s="0" t="n">
        <f aca="false">IF(OR(E421="개정판교체",E421="파본"),0,D421*H421)</f>
        <v>12642360</v>
      </c>
    </row>
    <row r="422" customFormat="false" ht="15" hidden="false" customHeight="false" outlineLevel="0" collapsed="false">
      <c r="A422" s="0" t="s">
        <v>104</v>
      </c>
      <c r="B422" s="1" t="s">
        <v>17</v>
      </c>
      <c r="C422" s="1" t="s">
        <v>33</v>
      </c>
      <c r="D422" s="0" t="n">
        <v>985</v>
      </c>
      <c r="E422" s="1" t="s">
        <v>118</v>
      </c>
      <c r="F422" s="0" t="n">
        <f aca="false">SUMIFS(출고!$F$2:$F$1167,출고!$B$2:$B$1167,B422,출고!$C$2:$C$1167,C422)/SUMIFS(출고!$D$2:$D$1167,출고!$B$2:$B$1167,B422,출고!$C$2:$C$1167,C422)</f>
        <v>12257.3281308064</v>
      </c>
      <c r="G422" s="0" t="n">
        <f aca="false">D422*F422</f>
        <v>12073468.2088443</v>
      </c>
      <c r="H422" s="0" t="n">
        <f aca="false">INDEX(마스터!$E:$E,MATCH(C422,마스터!$A:$A,0))</f>
        <v>6790</v>
      </c>
      <c r="I422" s="0" t="n">
        <f aca="false">IF(OR(E422="개정판교체",E422="파본"),0,D422*H422)</f>
        <v>0</v>
      </c>
    </row>
    <row r="423" customFormat="false" ht="15" hidden="false" customHeight="false" outlineLevel="0" collapsed="false">
      <c r="A423" s="0" t="s">
        <v>104</v>
      </c>
      <c r="B423" s="1" t="s">
        <v>18</v>
      </c>
      <c r="C423" s="1" t="s">
        <v>58</v>
      </c>
      <c r="D423" s="0" t="n">
        <v>762</v>
      </c>
      <c r="E423" s="1" t="s">
        <v>116</v>
      </c>
      <c r="F423" s="0" t="n">
        <f aca="false">SUMIFS(출고!$F$2:$F$1167,출고!$B$2:$B$1167,B423,출고!$C$2:$C$1167,C423)/SUMIFS(출고!$D$2:$D$1167,출고!$B$2:$B$1167,B423,출고!$C$2:$C$1167,C423)</f>
        <v>12008.6380072318</v>
      </c>
      <c r="G423" s="0" t="n">
        <f aca="false">D423*F423</f>
        <v>9150582.16151065</v>
      </c>
      <c r="H423" s="0" t="n">
        <f aca="false">INDEX(마스터!$E:$E,MATCH(C423,마스터!$A:$A,0))</f>
        <v>5720</v>
      </c>
      <c r="I423" s="0" t="n">
        <f aca="false">IF(OR(E423="개정판교체",E423="파본"),0,D423*H423)</f>
        <v>4358640</v>
      </c>
    </row>
    <row r="424" customFormat="false" ht="15" hidden="false" customHeight="false" outlineLevel="0" collapsed="false">
      <c r="A424" s="0" t="s">
        <v>104</v>
      </c>
      <c r="B424" s="1" t="s">
        <v>18</v>
      </c>
      <c r="C424" s="1" t="s">
        <v>41</v>
      </c>
      <c r="D424" s="0" t="n">
        <v>809</v>
      </c>
      <c r="E424" s="1" t="s">
        <v>120</v>
      </c>
      <c r="F424" s="0" t="n">
        <f aca="false">SUMIFS(출고!$F$2:$F$1167,출고!$B$2:$B$1167,B424,출고!$C$2:$C$1167,C424)/SUMIFS(출고!$D$2:$D$1167,출고!$B$2:$B$1167,B424,출고!$C$2:$C$1167,C424)</f>
        <v>11996.3969005596</v>
      </c>
      <c r="G424" s="0" t="n">
        <f aca="false">D424*F424</f>
        <v>9705085.09255273</v>
      </c>
      <c r="H424" s="0" t="n">
        <f aca="false">INDEX(마스터!$E:$E,MATCH(C424,마스터!$A:$A,0))</f>
        <v>5480</v>
      </c>
      <c r="I424" s="0" t="n">
        <f aca="false">IF(OR(E424="개정판교체",E424="파본"),0,D424*H424)</f>
        <v>0</v>
      </c>
    </row>
    <row r="425" customFormat="false" ht="15" hidden="false" customHeight="false" outlineLevel="0" collapsed="false">
      <c r="A425" s="0" t="s">
        <v>104</v>
      </c>
      <c r="B425" s="1" t="s">
        <v>18</v>
      </c>
      <c r="C425" s="1" t="s">
        <v>41</v>
      </c>
      <c r="D425" s="0" t="n">
        <v>579</v>
      </c>
      <c r="E425" s="1" t="s">
        <v>117</v>
      </c>
      <c r="F425" s="0" t="n">
        <f aca="false">SUMIFS(출고!$F$2:$F$1167,출고!$B$2:$B$1167,B425,출고!$C$2:$C$1167,C425)/SUMIFS(출고!$D$2:$D$1167,출고!$B$2:$B$1167,B425,출고!$C$2:$C$1167,C425)</f>
        <v>11996.3969005596</v>
      </c>
      <c r="G425" s="0" t="n">
        <f aca="false">D425*F425</f>
        <v>6945913.80542402</v>
      </c>
      <c r="H425" s="0" t="n">
        <f aca="false">INDEX(마스터!$E:$E,MATCH(C425,마스터!$A:$A,0))</f>
        <v>5480</v>
      </c>
      <c r="I425" s="0" t="n">
        <f aca="false">IF(OR(E425="개정판교체",E425="파본"),0,D425*H425)</f>
        <v>3172920</v>
      </c>
    </row>
    <row r="426" customFormat="false" ht="15" hidden="false" customHeight="false" outlineLevel="0" collapsed="false">
      <c r="A426" s="0" t="s">
        <v>104</v>
      </c>
      <c r="B426" s="1" t="s">
        <v>19</v>
      </c>
      <c r="C426" s="1" t="s">
        <v>41</v>
      </c>
      <c r="D426" s="0" t="n">
        <v>1569</v>
      </c>
      <c r="E426" s="1" t="s">
        <v>120</v>
      </c>
      <c r="F426" s="0" t="n">
        <f aca="false">SUMIFS(출고!$F$2:$F$1167,출고!$B$2:$B$1167,B426,출고!$C$2:$C$1167,C426)/SUMIFS(출고!$D$2:$D$1167,출고!$B$2:$B$1167,B426,출고!$C$2:$C$1167,C426)</f>
        <v>11026.8192607664</v>
      </c>
      <c r="G426" s="0" t="n">
        <f aca="false">D426*F426</f>
        <v>17301079.4201424</v>
      </c>
      <c r="H426" s="0" t="n">
        <f aca="false">INDEX(마스터!$E:$E,MATCH(C426,마스터!$A:$A,0))</f>
        <v>5480</v>
      </c>
      <c r="I426" s="0" t="n">
        <f aca="false">IF(OR(E426="개정판교체",E426="파본"),0,D426*H426)</f>
        <v>0</v>
      </c>
    </row>
    <row r="427" customFormat="false" ht="15" hidden="false" customHeight="false" outlineLevel="0" collapsed="false">
      <c r="A427" s="0" t="s">
        <v>104</v>
      </c>
      <c r="B427" s="1" t="s">
        <v>19</v>
      </c>
      <c r="C427" s="1" t="s">
        <v>47</v>
      </c>
      <c r="D427" s="0" t="n">
        <v>1481</v>
      </c>
      <c r="E427" s="1" t="s">
        <v>116</v>
      </c>
      <c r="F427" s="0" t="n">
        <f aca="false">SUMIFS(출고!$F$2:$F$1167,출고!$B$2:$B$1167,B427,출고!$C$2:$C$1167,C427)/SUMIFS(출고!$D$2:$D$1167,출고!$B$2:$B$1167,B427,출고!$C$2:$C$1167,C427)</f>
        <v>8421.7108804306</v>
      </c>
      <c r="G427" s="0" t="n">
        <f aca="false">D427*F427</f>
        <v>12472553.8139177</v>
      </c>
      <c r="H427" s="0" t="n">
        <f aca="false">INDEX(마스터!$E:$E,MATCH(C427,마스터!$A:$A,0))</f>
        <v>4170</v>
      </c>
      <c r="I427" s="0" t="n">
        <f aca="false">IF(OR(E427="개정판교체",E427="파본"),0,D427*H427)</f>
        <v>6175770</v>
      </c>
    </row>
    <row r="428" customFormat="false" ht="15" hidden="false" customHeight="false" outlineLevel="0" collapsed="false">
      <c r="A428" s="0" t="s">
        <v>104</v>
      </c>
      <c r="B428" s="1" t="s">
        <v>20</v>
      </c>
      <c r="C428" s="1" t="s">
        <v>38</v>
      </c>
      <c r="D428" s="0" t="n">
        <v>902</v>
      </c>
      <c r="E428" s="1" t="s">
        <v>116</v>
      </c>
      <c r="F428" s="0" t="n">
        <f aca="false">SUMIFS(출고!$F$2:$F$1167,출고!$B$2:$B$1167,B428,출고!$C$2:$C$1167,C428)/SUMIFS(출고!$D$2:$D$1167,출고!$B$2:$B$1167,B428,출고!$C$2:$C$1167,C428)</f>
        <v>12301.3674197384</v>
      </c>
      <c r="G428" s="0" t="n">
        <f aca="false">D428*F428</f>
        <v>11095833.412604</v>
      </c>
      <c r="H428" s="0" t="n">
        <f aca="false">INDEX(마스터!$E:$E,MATCH(C428,마스터!$A:$A,0))</f>
        <v>5670</v>
      </c>
      <c r="I428" s="0" t="n">
        <f aca="false">IF(OR(E428="개정판교체",E428="파본"),0,D428*H428)</f>
        <v>5114340</v>
      </c>
    </row>
    <row r="429" customFormat="false" ht="15" hidden="false" customHeight="false" outlineLevel="0" collapsed="false">
      <c r="A429" s="0" t="s">
        <v>104</v>
      </c>
      <c r="B429" s="1" t="s">
        <v>21</v>
      </c>
      <c r="C429" s="1" t="s">
        <v>45</v>
      </c>
      <c r="D429" s="0" t="n">
        <v>899</v>
      </c>
      <c r="E429" s="1" t="s">
        <v>116</v>
      </c>
      <c r="F429" s="0" t="n">
        <f aca="false">SUMIFS(출고!$F$2:$F$1167,출고!$B$2:$B$1167,B429,출고!$C$2:$C$1167,C429)/SUMIFS(출고!$D$2:$D$1167,출고!$B$2:$B$1167,B429,출고!$C$2:$C$1167,C429)</f>
        <v>12958.6155778894</v>
      </c>
      <c r="G429" s="0" t="n">
        <f aca="false">D429*F429</f>
        <v>11649795.4045226</v>
      </c>
      <c r="H429" s="0" t="n">
        <f aca="false">INDEX(마스터!$E:$E,MATCH(C429,마스터!$A:$A,0))</f>
        <v>6110</v>
      </c>
      <c r="I429" s="0" t="n">
        <f aca="false">IF(OR(E429="개정판교체",E429="파본"),0,D429*H429)</f>
        <v>5492890</v>
      </c>
    </row>
    <row r="430" customFormat="false" ht="15" hidden="false" customHeight="false" outlineLevel="0" collapsed="false">
      <c r="A430" s="0" t="s">
        <v>104</v>
      </c>
      <c r="B430" s="1" t="s">
        <v>21</v>
      </c>
      <c r="C430" s="1" t="s">
        <v>45</v>
      </c>
      <c r="D430" s="0" t="n">
        <v>991</v>
      </c>
      <c r="E430" s="1" t="s">
        <v>117</v>
      </c>
      <c r="F430" s="0" t="n">
        <f aca="false">SUMIFS(출고!$F$2:$F$1167,출고!$B$2:$B$1167,B430,출고!$C$2:$C$1167,C430)/SUMIFS(출고!$D$2:$D$1167,출고!$B$2:$B$1167,B430,출고!$C$2:$C$1167,C430)</f>
        <v>12958.6155778894</v>
      </c>
      <c r="G430" s="0" t="n">
        <f aca="false">D430*F430</f>
        <v>12841988.0376884</v>
      </c>
      <c r="H430" s="0" t="n">
        <f aca="false">INDEX(마스터!$E:$E,MATCH(C430,마스터!$A:$A,0))</f>
        <v>6110</v>
      </c>
      <c r="I430" s="0" t="n">
        <f aca="false">IF(OR(E430="개정판교체",E430="파본"),0,D430*H430)</f>
        <v>6055010</v>
      </c>
    </row>
    <row r="431" customFormat="false" ht="15" hidden="false" customHeight="false" outlineLevel="0" collapsed="false">
      <c r="A431" s="0" t="s">
        <v>104</v>
      </c>
      <c r="B431" s="1" t="s">
        <v>22</v>
      </c>
      <c r="C431" s="1" t="s">
        <v>77</v>
      </c>
      <c r="D431" s="0" t="n">
        <v>981</v>
      </c>
      <c r="E431" s="1" t="s">
        <v>117</v>
      </c>
      <c r="F431" s="0" t="n">
        <f aca="false">SUMIFS(출고!$F$2:$F$1167,출고!$B$2:$B$1167,B431,출고!$C$2:$C$1167,C431)/SUMIFS(출고!$D$2:$D$1167,출고!$B$2:$B$1167,B431,출고!$C$2:$C$1167,C431)</f>
        <v>11945.3144104803</v>
      </c>
      <c r="G431" s="0" t="n">
        <f aca="false">D431*F431</f>
        <v>11718353.4366812</v>
      </c>
      <c r="H431" s="0" t="n">
        <f aca="false">INDEX(마스터!$E:$E,MATCH(C431,마스터!$A:$A,0))</f>
        <v>5380</v>
      </c>
      <c r="I431" s="0" t="n">
        <f aca="false">IF(OR(E431="개정판교체",E431="파본"),0,D431*H431)</f>
        <v>5277780</v>
      </c>
    </row>
    <row r="432" customFormat="false" ht="15" hidden="false" customHeight="false" outlineLevel="0" collapsed="false">
      <c r="A432" s="0" t="s">
        <v>104</v>
      </c>
      <c r="B432" s="1" t="s">
        <v>23</v>
      </c>
      <c r="C432" s="1" t="s">
        <v>58</v>
      </c>
      <c r="D432" s="0" t="n">
        <v>1089</v>
      </c>
      <c r="E432" s="1" t="s">
        <v>116</v>
      </c>
      <c r="F432" s="0" t="n">
        <f aca="false">SUMIFS(출고!$F$2:$F$1167,출고!$B$2:$B$1167,B432,출고!$C$2:$C$1167,C432)/SUMIFS(출고!$D$2:$D$1167,출고!$B$2:$B$1167,B432,출고!$C$2:$C$1167,C432)</f>
        <v>11866.8096054889</v>
      </c>
      <c r="G432" s="0" t="n">
        <f aca="false">D432*F432</f>
        <v>12922955.6603774</v>
      </c>
      <c r="H432" s="0" t="n">
        <f aca="false">INDEX(마스터!$E:$E,MATCH(C432,마스터!$A:$A,0))</f>
        <v>5720</v>
      </c>
      <c r="I432" s="0" t="n">
        <f aca="false">IF(OR(E432="개정판교체",E432="파본"),0,D432*H432)</f>
        <v>6229080</v>
      </c>
    </row>
    <row r="433" customFormat="false" ht="15" hidden="false" customHeight="false" outlineLevel="0" collapsed="false">
      <c r="A433" s="0" t="s">
        <v>104</v>
      </c>
      <c r="B433" s="1" t="s">
        <v>25</v>
      </c>
      <c r="C433" s="1" t="s">
        <v>35</v>
      </c>
      <c r="D433" s="0" t="n">
        <v>1394</v>
      </c>
      <c r="E433" s="1" t="s">
        <v>116</v>
      </c>
      <c r="F433" s="0" t="n">
        <f aca="false">SUMIFS(출고!$F$2:$F$1167,출고!$B$2:$B$1167,B433,출고!$C$2:$C$1167,C433)/SUMIFS(출고!$D$2:$D$1167,출고!$B$2:$B$1167,B433,출고!$C$2:$C$1167,C433)</f>
        <v>10504.6378174976</v>
      </c>
      <c r="G433" s="0" t="n">
        <f aca="false">D433*F433</f>
        <v>14643465.1175917</v>
      </c>
      <c r="H433" s="0" t="n">
        <f aca="false">INDEX(마스터!$E:$E,MATCH(C433,마스터!$A:$A,0))</f>
        <v>4920</v>
      </c>
      <c r="I433" s="0" t="n">
        <f aca="false">IF(OR(E433="개정판교체",E433="파본"),0,D433*H433)</f>
        <v>6858480</v>
      </c>
    </row>
    <row r="434" customFormat="false" ht="15" hidden="false" customHeight="false" outlineLevel="0" collapsed="false">
      <c r="A434" s="0" t="s">
        <v>104</v>
      </c>
      <c r="B434" s="1" t="s">
        <v>24</v>
      </c>
      <c r="C434" s="1" t="s">
        <v>41</v>
      </c>
      <c r="D434" s="0" t="n">
        <v>762</v>
      </c>
      <c r="E434" s="1" t="s">
        <v>119</v>
      </c>
      <c r="F434" s="0" t="n">
        <f aca="false">SUMIFS(출고!$F$2:$F$1167,출고!$B$2:$B$1167,B434,출고!$C$2:$C$1167,C434)/SUMIFS(출고!$D$2:$D$1167,출고!$B$2:$B$1167,B434,출고!$C$2:$C$1167,C434)</f>
        <v>11913.5556811758</v>
      </c>
      <c r="G434" s="0" t="n">
        <f aca="false">D434*F434</f>
        <v>9078129.42905596</v>
      </c>
      <c r="H434" s="0" t="n">
        <f aca="false">INDEX(마스터!$E:$E,MATCH(C434,마스터!$A:$A,0))</f>
        <v>5480</v>
      </c>
      <c r="I434" s="0" t="n">
        <f aca="false">IF(OR(E434="개정판교체",E434="파본"),0,D434*H434)</f>
        <v>4175760</v>
      </c>
    </row>
    <row r="435" customFormat="false" ht="15" hidden="false" customHeight="false" outlineLevel="0" collapsed="false">
      <c r="A435" s="0" t="s">
        <v>105</v>
      </c>
      <c r="B435" s="1" t="s">
        <v>14</v>
      </c>
      <c r="C435" s="1" t="s">
        <v>45</v>
      </c>
      <c r="D435" s="0" t="n">
        <v>3680</v>
      </c>
      <c r="E435" s="1" t="s">
        <v>117</v>
      </c>
      <c r="F435" s="0" t="n">
        <f aca="false">SUMIFS(출고!$F$2:$F$1167,출고!$B$2:$B$1167,B435,출고!$C$2:$C$1167,C435)/SUMIFS(출고!$D$2:$D$1167,출고!$B$2:$B$1167,B435,출고!$C$2:$C$1167,C435)</f>
        <v>11925.6097560976</v>
      </c>
      <c r="G435" s="0" t="n">
        <f aca="false">D435*F435</f>
        <v>43886243.902439</v>
      </c>
      <c r="H435" s="0" t="n">
        <f aca="false">INDEX(마스터!$E:$E,MATCH(C435,마스터!$A:$A,0))</f>
        <v>6110</v>
      </c>
      <c r="I435" s="0" t="n">
        <f aca="false">IF(OR(E435="개정판교체",E435="파본"),0,D435*H435)</f>
        <v>22484800</v>
      </c>
    </row>
    <row r="436" customFormat="false" ht="15" hidden="false" customHeight="false" outlineLevel="0" collapsed="false">
      <c r="A436" s="0" t="s">
        <v>105</v>
      </c>
      <c r="B436" s="1" t="s">
        <v>14</v>
      </c>
      <c r="C436" s="1" t="s">
        <v>41</v>
      </c>
      <c r="D436" s="0" t="n">
        <v>4481</v>
      </c>
      <c r="E436" s="1" t="s">
        <v>120</v>
      </c>
      <c r="F436" s="0" t="n">
        <f aca="false">SUMIFS(출고!$F$2:$F$1167,출고!$B$2:$B$1167,B436,출고!$C$2:$C$1167,C436)/SUMIFS(출고!$D$2:$D$1167,출고!$B$2:$B$1167,B436,출고!$C$2:$C$1167,C436)</f>
        <v>10967.1647780925</v>
      </c>
      <c r="G436" s="0" t="n">
        <f aca="false">D436*F436</f>
        <v>49143865.3706327</v>
      </c>
      <c r="H436" s="0" t="n">
        <f aca="false">INDEX(마스터!$E:$E,MATCH(C436,마스터!$A:$A,0))</f>
        <v>5480</v>
      </c>
      <c r="I436" s="0" t="n">
        <f aca="false">IF(OR(E436="개정판교체",E436="파본"),0,D436*H436)</f>
        <v>0</v>
      </c>
    </row>
    <row r="437" customFormat="false" ht="15" hidden="false" customHeight="false" outlineLevel="0" collapsed="false">
      <c r="A437" s="0" t="s">
        <v>105</v>
      </c>
      <c r="B437" s="1" t="s">
        <v>14</v>
      </c>
      <c r="C437" s="1" t="s">
        <v>41</v>
      </c>
      <c r="D437" s="0" t="n">
        <v>4039</v>
      </c>
      <c r="E437" s="1" t="s">
        <v>116</v>
      </c>
      <c r="F437" s="0" t="n">
        <f aca="false">SUMIFS(출고!$F$2:$F$1167,출고!$B$2:$B$1167,B437,출고!$C$2:$C$1167,C437)/SUMIFS(출고!$D$2:$D$1167,출고!$B$2:$B$1167,B437,출고!$C$2:$C$1167,C437)</f>
        <v>10967.1647780925</v>
      </c>
      <c r="G437" s="0" t="n">
        <f aca="false">D437*F437</f>
        <v>44296378.5387158</v>
      </c>
      <c r="H437" s="0" t="n">
        <f aca="false">INDEX(마스터!$E:$E,MATCH(C437,마스터!$A:$A,0))</f>
        <v>5480</v>
      </c>
      <c r="I437" s="0" t="n">
        <f aca="false">IF(OR(E437="개정판교체",E437="파본"),0,D437*H437)</f>
        <v>22133720</v>
      </c>
    </row>
    <row r="438" customFormat="false" ht="15" hidden="false" customHeight="false" outlineLevel="0" collapsed="false">
      <c r="A438" s="0" t="s">
        <v>105</v>
      </c>
      <c r="B438" s="1" t="s">
        <v>14</v>
      </c>
      <c r="C438" s="1" t="s">
        <v>35</v>
      </c>
      <c r="D438" s="0" t="n">
        <v>4008</v>
      </c>
      <c r="E438" s="1" t="s">
        <v>116</v>
      </c>
      <c r="F438" s="0" t="n">
        <f aca="false">SUMIFS(출고!$F$2:$F$1167,출고!$B$2:$B$1167,B438,출고!$C$2:$C$1167,C438)/SUMIFS(출고!$D$2:$D$1167,출고!$B$2:$B$1167,B438,출고!$C$2:$C$1167,C438)</f>
        <v>9672.97107438017</v>
      </c>
      <c r="G438" s="0" t="n">
        <f aca="false">D438*F438</f>
        <v>38769268.0661157</v>
      </c>
      <c r="H438" s="0" t="n">
        <f aca="false">INDEX(마스터!$E:$E,MATCH(C438,마스터!$A:$A,0))</f>
        <v>4920</v>
      </c>
      <c r="I438" s="0" t="n">
        <f aca="false">IF(OR(E438="개정판교체",E438="파본"),0,D438*H438)</f>
        <v>19719360</v>
      </c>
    </row>
    <row r="439" customFormat="false" ht="15" hidden="false" customHeight="false" outlineLevel="0" collapsed="false">
      <c r="A439" s="0" t="s">
        <v>105</v>
      </c>
      <c r="B439" s="1" t="s">
        <v>14</v>
      </c>
      <c r="C439" s="1" t="s">
        <v>36</v>
      </c>
      <c r="D439" s="0" t="n">
        <v>3905</v>
      </c>
      <c r="E439" s="1" t="s">
        <v>116</v>
      </c>
      <c r="F439" s="0" t="n">
        <f aca="false">SUMIFS(출고!$F$2:$F$1167,출고!$B$2:$B$1167,B439,출고!$C$2:$C$1167,C439)/SUMIFS(출고!$D$2:$D$1167,출고!$B$2:$B$1167,B439,출고!$C$2:$C$1167,C439)</f>
        <v>9351.30961392884</v>
      </c>
      <c r="G439" s="0" t="n">
        <f aca="false">D439*F439</f>
        <v>36516864.0423921</v>
      </c>
      <c r="H439" s="0" t="n">
        <f aca="false">INDEX(마스터!$E:$E,MATCH(C439,마스터!$A:$A,0))</f>
        <v>4540</v>
      </c>
      <c r="I439" s="0" t="n">
        <f aca="false">IF(OR(E439="개정판교체",E439="파본"),0,D439*H439)</f>
        <v>17728700</v>
      </c>
    </row>
    <row r="440" customFormat="false" ht="15" hidden="false" customHeight="false" outlineLevel="0" collapsed="false">
      <c r="A440" s="0" t="s">
        <v>105</v>
      </c>
      <c r="B440" s="1" t="s">
        <v>15</v>
      </c>
      <c r="C440" s="1" t="s">
        <v>41</v>
      </c>
      <c r="D440" s="0" t="n">
        <v>2408</v>
      </c>
      <c r="E440" s="1" t="s">
        <v>120</v>
      </c>
      <c r="F440" s="0" t="n">
        <f aca="false">SUMIFS(출고!$F$2:$F$1167,출고!$B$2:$B$1167,B440,출고!$C$2:$C$1167,C440)/SUMIFS(출고!$D$2:$D$1167,출고!$B$2:$B$1167,B440,출고!$C$2:$C$1167,C440)</f>
        <v>11054.3527392362</v>
      </c>
      <c r="G440" s="0" t="n">
        <f aca="false">D440*F440</f>
        <v>26618881.3960807</v>
      </c>
      <c r="H440" s="0" t="n">
        <f aca="false">INDEX(마스터!$E:$E,MATCH(C440,마스터!$A:$A,0))</f>
        <v>5480</v>
      </c>
      <c r="I440" s="0" t="n">
        <f aca="false">IF(OR(E440="개정판교체",E440="파본"),0,D440*H440)</f>
        <v>0</v>
      </c>
    </row>
    <row r="441" customFormat="false" ht="15" hidden="false" customHeight="false" outlineLevel="0" collapsed="false">
      <c r="A441" s="0" t="s">
        <v>105</v>
      </c>
      <c r="B441" s="1" t="s">
        <v>15</v>
      </c>
      <c r="C441" s="1" t="s">
        <v>41</v>
      </c>
      <c r="D441" s="0" t="n">
        <v>425</v>
      </c>
      <c r="E441" s="1" t="s">
        <v>116</v>
      </c>
      <c r="F441" s="0" t="n">
        <f aca="false">SUMIFS(출고!$F$2:$F$1167,출고!$B$2:$B$1167,B441,출고!$C$2:$C$1167,C441)/SUMIFS(출고!$D$2:$D$1167,출고!$B$2:$B$1167,B441,출고!$C$2:$C$1167,C441)</f>
        <v>11054.3527392362</v>
      </c>
      <c r="G441" s="0" t="n">
        <f aca="false">D441*F441</f>
        <v>4698099.91417537</v>
      </c>
      <c r="H441" s="0" t="n">
        <f aca="false">INDEX(마스터!$E:$E,MATCH(C441,마스터!$A:$A,0))</f>
        <v>5480</v>
      </c>
      <c r="I441" s="0" t="n">
        <f aca="false">IF(OR(E441="개정판교체",E441="파본"),0,D441*H441)</f>
        <v>2329000</v>
      </c>
    </row>
    <row r="442" customFormat="false" ht="15" hidden="false" customHeight="false" outlineLevel="0" collapsed="false">
      <c r="A442" s="0" t="s">
        <v>105</v>
      </c>
      <c r="B442" s="1" t="s">
        <v>15</v>
      </c>
      <c r="C442" s="1" t="s">
        <v>66</v>
      </c>
      <c r="D442" s="0" t="n">
        <v>936</v>
      </c>
      <c r="E442" s="1" t="s">
        <v>116</v>
      </c>
      <c r="F442" s="0" t="n">
        <f aca="false">SUMIFS(출고!$F$2:$F$1167,출고!$B$2:$B$1167,B442,출고!$C$2:$C$1167,C442)/SUMIFS(출고!$D$2:$D$1167,출고!$B$2:$B$1167,B442,출고!$C$2:$C$1167,C442)</f>
        <v>12030.3590777372</v>
      </c>
      <c r="G442" s="0" t="n">
        <f aca="false">D442*F442</f>
        <v>11260416.096762</v>
      </c>
      <c r="H442" s="0" t="n">
        <f aca="false">INDEX(마스터!$E:$E,MATCH(C442,마스터!$A:$A,0))</f>
        <v>6360</v>
      </c>
      <c r="I442" s="0" t="n">
        <f aca="false">IF(OR(E442="개정판교체",E442="파본"),0,D442*H442)</f>
        <v>5952960</v>
      </c>
    </row>
    <row r="443" customFormat="false" ht="15" hidden="false" customHeight="false" outlineLevel="0" collapsed="false">
      <c r="A443" s="0" t="s">
        <v>105</v>
      </c>
      <c r="B443" s="1" t="s">
        <v>15</v>
      </c>
      <c r="C443" s="1" t="s">
        <v>47</v>
      </c>
      <c r="D443" s="0" t="n">
        <v>1263</v>
      </c>
      <c r="E443" s="1" t="s">
        <v>116</v>
      </c>
      <c r="F443" s="0" t="n">
        <f aca="false">SUMIFS(출고!$F$2:$F$1167,출고!$B$2:$B$1167,B443,출고!$C$2:$C$1167,C443)/SUMIFS(출고!$D$2:$D$1167,출고!$B$2:$B$1167,B443,출고!$C$2:$C$1167,C443)</f>
        <v>8455.46315291147</v>
      </c>
      <c r="G443" s="0" t="n">
        <f aca="false">D443*F443</f>
        <v>10679249.9621272</v>
      </c>
      <c r="H443" s="0" t="n">
        <f aca="false">INDEX(마스터!$E:$E,MATCH(C443,마스터!$A:$A,0))</f>
        <v>4170</v>
      </c>
      <c r="I443" s="0" t="n">
        <f aca="false">IF(OR(E443="개정판교체",E443="파본"),0,D443*H443)</f>
        <v>5266710</v>
      </c>
    </row>
    <row r="444" customFormat="false" ht="15" hidden="false" customHeight="false" outlineLevel="0" collapsed="false">
      <c r="A444" s="0" t="s">
        <v>105</v>
      </c>
      <c r="B444" s="1" t="s">
        <v>15</v>
      </c>
      <c r="C444" s="1" t="s">
        <v>40</v>
      </c>
      <c r="D444" s="0" t="n">
        <v>1233</v>
      </c>
      <c r="E444" s="1" t="s">
        <v>116</v>
      </c>
      <c r="F444" s="0" t="n">
        <f aca="false">SUMIFS(출고!$F$2:$F$1167,출고!$B$2:$B$1167,B444,출고!$C$2:$C$1167,C444)/SUMIFS(출고!$D$2:$D$1167,출고!$B$2:$B$1167,B444,출고!$C$2:$C$1167,C444)</f>
        <v>9097.31596828992</v>
      </c>
      <c r="G444" s="0" t="n">
        <f aca="false">D444*F444</f>
        <v>11216990.5889015</v>
      </c>
      <c r="H444" s="0" t="n">
        <f aca="false">INDEX(마스터!$E:$E,MATCH(C444,마스터!$A:$A,0))</f>
        <v>4740</v>
      </c>
      <c r="I444" s="0" t="n">
        <f aca="false">IF(OR(E444="개정판교체",E444="파본"),0,D444*H444)</f>
        <v>5844420</v>
      </c>
    </row>
    <row r="445" customFormat="false" ht="15" hidden="false" customHeight="false" outlineLevel="0" collapsed="false">
      <c r="A445" s="0" t="s">
        <v>105</v>
      </c>
      <c r="B445" s="1" t="s">
        <v>16</v>
      </c>
      <c r="C445" s="1" t="s">
        <v>41</v>
      </c>
      <c r="D445" s="0" t="n">
        <v>1009</v>
      </c>
      <c r="E445" s="1" t="s">
        <v>120</v>
      </c>
      <c r="F445" s="0" t="n">
        <f aca="false">SUMIFS(출고!$F$2:$F$1167,출고!$B$2:$B$1167,B445,출고!$C$2:$C$1167,C445)/SUMIFS(출고!$D$2:$D$1167,출고!$B$2:$B$1167,B445,출고!$C$2:$C$1167,C445)</f>
        <v>12005.6088560886</v>
      </c>
      <c r="G445" s="0" t="n">
        <f aca="false">D445*F445</f>
        <v>12113659.3357934</v>
      </c>
      <c r="H445" s="0" t="n">
        <f aca="false">INDEX(마스터!$E:$E,MATCH(C445,마스터!$A:$A,0))</f>
        <v>5480</v>
      </c>
      <c r="I445" s="0" t="n">
        <f aca="false">IF(OR(E445="개정판교체",E445="파본"),0,D445*H445)</f>
        <v>0</v>
      </c>
    </row>
    <row r="446" customFormat="false" ht="15" hidden="false" customHeight="false" outlineLevel="0" collapsed="false">
      <c r="A446" s="0" t="s">
        <v>105</v>
      </c>
      <c r="B446" s="1" t="s">
        <v>16</v>
      </c>
      <c r="C446" s="1" t="s">
        <v>48</v>
      </c>
      <c r="D446" s="0" t="n">
        <v>393</v>
      </c>
      <c r="E446" s="1" t="s">
        <v>117</v>
      </c>
      <c r="F446" s="0" t="n">
        <f aca="false">SUMIFS(출고!$F$2:$F$1167,출고!$B$2:$B$1167,B446,출고!$C$2:$C$1167,C446)/SUMIFS(출고!$D$2:$D$1167,출고!$B$2:$B$1167,B446,출고!$C$2:$C$1167,C446)</f>
        <v>13020</v>
      </c>
      <c r="G446" s="0" t="n">
        <f aca="false">D446*F446</f>
        <v>5116860</v>
      </c>
      <c r="H446" s="0" t="n">
        <f aca="false">INDEX(마스터!$E:$E,MATCH(C446,마스터!$A:$A,0))</f>
        <v>6440</v>
      </c>
      <c r="I446" s="0" t="n">
        <f aca="false">IF(OR(E446="개정판교체",E446="파본"),0,D446*H446)</f>
        <v>2530920</v>
      </c>
    </row>
    <row r="447" customFormat="false" ht="15" hidden="false" customHeight="false" outlineLevel="0" collapsed="false">
      <c r="A447" s="0" t="s">
        <v>105</v>
      </c>
      <c r="B447" s="1" t="s">
        <v>16</v>
      </c>
      <c r="C447" s="1" t="s">
        <v>48</v>
      </c>
      <c r="D447" s="0" t="n">
        <v>334</v>
      </c>
      <c r="E447" s="1" t="s">
        <v>118</v>
      </c>
      <c r="F447" s="0" t="n">
        <f aca="false">SUMIFS(출고!$F$2:$F$1167,출고!$B$2:$B$1167,B447,출고!$C$2:$C$1167,C447)/SUMIFS(출고!$D$2:$D$1167,출고!$B$2:$B$1167,B447,출고!$C$2:$C$1167,C447)</f>
        <v>13020</v>
      </c>
      <c r="G447" s="0" t="n">
        <f aca="false">D447*F447</f>
        <v>4348680</v>
      </c>
      <c r="H447" s="0" t="n">
        <f aca="false">INDEX(마스터!$E:$E,MATCH(C447,마스터!$A:$A,0))</f>
        <v>6440</v>
      </c>
      <c r="I447" s="0" t="n">
        <f aca="false">IF(OR(E447="개정판교체",E447="파본"),0,D447*H447)</f>
        <v>0</v>
      </c>
    </row>
    <row r="448" customFormat="false" ht="15" hidden="false" customHeight="false" outlineLevel="0" collapsed="false">
      <c r="A448" s="0" t="s">
        <v>105</v>
      </c>
      <c r="B448" s="1" t="s">
        <v>16</v>
      </c>
      <c r="C448" s="1" t="s">
        <v>55</v>
      </c>
      <c r="D448" s="0" t="n">
        <v>410</v>
      </c>
      <c r="E448" s="1" t="s">
        <v>116</v>
      </c>
      <c r="F448" s="0" t="n">
        <f aca="false">SUMIFS(출고!$F$2:$F$1167,출고!$B$2:$B$1167,B448,출고!$C$2:$C$1167,C448)/SUMIFS(출고!$D$2:$D$1167,출고!$B$2:$B$1167,B448,출고!$C$2:$C$1167,C448)</f>
        <v>13012.5662042875</v>
      </c>
      <c r="G448" s="0" t="n">
        <f aca="false">D448*F448</f>
        <v>5335152.14375788</v>
      </c>
      <c r="H448" s="0" t="n">
        <f aca="false">INDEX(마스터!$E:$E,MATCH(C448,마스터!$A:$A,0))</f>
        <v>6040</v>
      </c>
      <c r="I448" s="0" t="n">
        <f aca="false">IF(OR(E448="개정판교체",E448="파본"),0,D448*H448)</f>
        <v>2476400</v>
      </c>
    </row>
    <row r="449" customFormat="false" ht="15" hidden="false" customHeight="false" outlineLevel="0" collapsed="false">
      <c r="A449" s="0" t="s">
        <v>105</v>
      </c>
      <c r="B449" s="1" t="s">
        <v>16</v>
      </c>
      <c r="C449" s="1" t="s">
        <v>55</v>
      </c>
      <c r="D449" s="0" t="n">
        <v>221</v>
      </c>
      <c r="E449" s="1" t="s">
        <v>118</v>
      </c>
      <c r="F449" s="0" t="n">
        <f aca="false">SUMIFS(출고!$F$2:$F$1167,출고!$B$2:$B$1167,B449,출고!$C$2:$C$1167,C449)/SUMIFS(출고!$D$2:$D$1167,출고!$B$2:$B$1167,B449,출고!$C$2:$C$1167,C449)</f>
        <v>13012.5662042875</v>
      </c>
      <c r="G449" s="0" t="n">
        <f aca="false">D449*F449</f>
        <v>2875777.13114754</v>
      </c>
      <c r="H449" s="0" t="n">
        <f aca="false">INDEX(마스터!$E:$E,MATCH(C449,마스터!$A:$A,0))</f>
        <v>6040</v>
      </c>
      <c r="I449" s="0" t="n">
        <f aca="false">IF(OR(E449="개정판교체",E449="파본"),0,D449*H449)</f>
        <v>0</v>
      </c>
    </row>
    <row r="450" customFormat="false" ht="15" hidden="false" customHeight="false" outlineLevel="0" collapsed="false">
      <c r="A450" s="0" t="s">
        <v>105</v>
      </c>
      <c r="B450" s="1" t="s">
        <v>16</v>
      </c>
      <c r="C450" s="1" t="s">
        <v>66</v>
      </c>
      <c r="D450" s="0" t="n">
        <v>614</v>
      </c>
      <c r="E450" s="1" t="s">
        <v>116</v>
      </c>
      <c r="F450" s="0" t="n">
        <f aca="false">SUMIFS(출고!$F$2:$F$1167,출고!$B$2:$B$1167,B450,출고!$C$2:$C$1167,C450)/SUMIFS(출고!$D$2:$D$1167,출고!$B$2:$B$1167,B450,출고!$C$2:$C$1167,C450)</f>
        <v>13064.43000693</v>
      </c>
      <c r="G450" s="0" t="n">
        <f aca="false">D450*F450</f>
        <v>8021560.02425502</v>
      </c>
      <c r="H450" s="0" t="n">
        <f aca="false">INDEX(마스터!$E:$E,MATCH(C450,마스터!$A:$A,0))</f>
        <v>6360</v>
      </c>
      <c r="I450" s="0" t="n">
        <f aca="false">IF(OR(E450="개정판교체",E450="파본"),0,D450*H450)</f>
        <v>3905040</v>
      </c>
    </row>
    <row r="451" customFormat="false" ht="15" hidden="false" customHeight="false" outlineLevel="0" collapsed="false">
      <c r="A451" s="0" t="s">
        <v>105</v>
      </c>
      <c r="B451" s="1" t="s">
        <v>17</v>
      </c>
      <c r="C451" s="1" t="s">
        <v>41</v>
      </c>
      <c r="D451" s="0" t="n">
        <v>1964</v>
      </c>
      <c r="E451" s="1" t="s">
        <v>120</v>
      </c>
      <c r="F451" s="0" t="n">
        <f aca="false">SUMIFS(출고!$F$2:$F$1167,출고!$B$2:$B$1167,B451,출고!$C$2:$C$1167,C451)/SUMIFS(출고!$D$2:$D$1167,출고!$B$2:$B$1167,B451,출고!$C$2:$C$1167,C451)</f>
        <v>10955.0155508266</v>
      </c>
      <c r="G451" s="0" t="n">
        <f aca="false">D451*F451</f>
        <v>21515650.5418235</v>
      </c>
      <c r="H451" s="0" t="n">
        <f aca="false">INDEX(마스터!$E:$E,MATCH(C451,마스터!$A:$A,0))</f>
        <v>5480</v>
      </c>
      <c r="I451" s="0" t="n">
        <f aca="false">IF(OR(E451="개정판교체",E451="파본"),0,D451*H451)</f>
        <v>0</v>
      </c>
    </row>
    <row r="452" customFormat="false" ht="15" hidden="false" customHeight="false" outlineLevel="0" collapsed="false">
      <c r="A452" s="0" t="s">
        <v>105</v>
      </c>
      <c r="B452" s="1" t="s">
        <v>17</v>
      </c>
      <c r="C452" s="1" t="s">
        <v>33</v>
      </c>
      <c r="D452" s="0" t="n">
        <v>1001</v>
      </c>
      <c r="E452" s="1" t="s">
        <v>117</v>
      </c>
      <c r="F452" s="0" t="n">
        <f aca="false">SUMIFS(출고!$F$2:$F$1167,출고!$B$2:$B$1167,B452,출고!$C$2:$C$1167,C452)/SUMIFS(출고!$D$2:$D$1167,출고!$B$2:$B$1167,B452,출고!$C$2:$C$1167,C452)</f>
        <v>12257.3281308064</v>
      </c>
      <c r="G452" s="0" t="n">
        <f aca="false">D452*F452</f>
        <v>12269585.4589372</v>
      </c>
      <c r="H452" s="0" t="n">
        <f aca="false">INDEX(마스터!$E:$E,MATCH(C452,마스터!$A:$A,0))</f>
        <v>6790</v>
      </c>
      <c r="I452" s="0" t="n">
        <f aca="false">IF(OR(E452="개정판교체",E452="파본"),0,D452*H452)</f>
        <v>6796790</v>
      </c>
    </row>
    <row r="453" customFormat="false" ht="15" hidden="false" customHeight="false" outlineLevel="0" collapsed="false">
      <c r="A453" s="0" t="s">
        <v>105</v>
      </c>
      <c r="B453" s="1" t="s">
        <v>17</v>
      </c>
      <c r="C453" s="1" t="s">
        <v>71</v>
      </c>
      <c r="D453" s="0" t="n">
        <v>1121</v>
      </c>
      <c r="E453" s="1" t="s">
        <v>117</v>
      </c>
      <c r="F453" s="0" t="n">
        <f aca="false">SUMIFS(출고!$F$2:$F$1167,출고!$B$2:$B$1167,B453,출고!$C$2:$C$1167,C453)/SUMIFS(출고!$D$2:$D$1167,출고!$B$2:$B$1167,B453,출고!$C$2:$C$1167,C453)</f>
        <v>8380.27278775782</v>
      </c>
      <c r="G453" s="0" t="n">
        <f aca="false">D453*F453</f>
        <v>9394285.79507651</v>
      </c>
      <c r="H453" s="0" t="n">
        <f aca="false">INDEX(마스터!$E:$E,MATCH(C453,마스터!$A:$A,0))</f>
        <v>4330</v>
      </c>
      <c r="I453" s="0" t="n">
        <f aca="false">IF(OR(E453="개정판교체",E453="파본"),0,D453*H453)</f>
        <v>4853930</v>
      </c>
    </row>
    <row r="454" customFormat="false" ht="15" hidden="false" customHeight="false" outlineLevel="0" collapsed="false">
      <c r="A454" s="0" t="s">
        <v>105</v>
      </c>
      <c r="B454" s="1" t="s">
        <v>18</v>
      </c>
      <c r="C454" s="1" t="s">
        <v>38</v>
      </c>
      <c r="D454" s="0" t="n">
        <v>727</v>
      </c>
      <c r="E454" s="1" t="s">
        <v>116</v>
      </c>
      <c r="F454" s="0" t="n">
        <f aca="false">SUMIFS(출고!$F$2:$F$1167,출고!$B$2:$B$1167,B454,출고!$C$2:$C$1167,C454)/SUMIFS(출고!$D$2:$D$1167,출고!$B$2:$B$1167,B454,출고!$C$2:$C$1167,C454)</f>
        <v>12371.5517241379</v>
      </c>
      <c r="G454" s="0" t="n">
        <f aca="false">D454*F454</f>
        <v>8994118.10344828</v>
      </c>
      <c r="H454" s="0" t="n">
        <f aca="false">INDEX(마스터!$E:$E,MATCH(C454,마스터!$A:$A,0))</f>
        <v>5670</v>
      </c>
      <c r="I454" s="0" t="n">
        <f aca="false">IF(OR(E454="개정판교체",E454="파본"),0,D454*H454)</f>
        <v>4122090</v>
      </c>
    </row>
    <row r="455" customFormat="false" ht="15" hidden="false" customHeight="false" outlineLevel="0" collapsed="false">
      <c r="A455" s="0" t="s">
        <v>105</v>
      </c>
      <c r="B455" s="1" t="s">
        <v>18</v>
      </c>
      <c r="C455" s="1" t="s">
        <v>51</v>
      </c>
      <c r="D455" s="0" t="n">
        <v>399</v>
      </c>
      <c r="E455" s="1" t="s">
        <v>117</v>
      </c>
      <c r="F455" s="0" t="n">
        <f aca="false">SUMIFS(출고!$F$2:$F$1167,출고!$B$2:$B$1167,B455,출고!$C$2:$C$1167,C455)/SUMIFS(출고!$D$2:$D$1167,출고!$B$2:$B$1167,B455,출고!$C$2:$C$1167,C455)</f>
        <v>14411.0224506357</v>
      </c>
      <c r="G455" s="0" t="n">
        <f aca="false">D455*F455</f>
        <v>5749997.95780363</v>
      </c>
      <c r="H455" s="0" t="n">
        <f aca="false">INDEX(마스터!$E:$E,MATCH(C455,마스터!$A:$A,0))</f>
        <v>7480</v>
      </c>
      <c r="I455" s="0" t="n">
        <f aca="false">IF(OR(E455="개정판교체",E455="파본"),0,D455*H455)</f>
        <v>2984520</v>
      </c>
    </row>
    <row r="456" customFormat="false" ht="15" hidden="false" customHeight="false" outlineLevel="0" collapsed="false">
      <c r="A456" s="0" t="s">
        <v>105</v>
      </c>
      <c r="B456" s="1" t="s">
        <v>18</v>
      </c>
      <c r="C456" s="1" t="s">
        <v>51</v>
      </c>
      <c r="D456" s="0" t="n">
        <v>301</v>
      </c>
      <c r="E456" s="1" t="s">
        <v>118</v>
      </c>
      <c r="F456" s="0" t="n">
        <f aca="false">SUMIFS(출고!$F$2:$F$1167,출고!$B$2:$B$1167,B456,출고!$C$2:$C$1167,C456)/SUMIFS(출고!$D$2:$D$1167,출고!$B$2:$B$1167,B456,출고!$C$2:$C$1167,C456)</f>
        <v>14411.0224506357</v>
      </c>
      <c r="G456" s="0" t="n">
        <f aca="false">D456*F456</f>
        <v>4337717.75764133</v>
      </c>
      <c r="H456" s="0" t="n">
        <f aca="false">INDEX(마스터!$E:$E,MATCH(C456,마스터!$A:$A,0))</f>
        <v>7480</v>
      </c>
      <c r="I456" s="0" t="n">
        <f aca="false">IF(OR(E456="개정판교체",E456="파본"),0,D456*H456)</f>
        <v>0</v>
      </c>
    </row>
    <row r="457" customFormat="false" ht="15" hidden="false" customHeight="false" outlineLevel="0" collapsed="false">
      <c r="A457" s="0" t="s">
        <v>105</v>
      </c>
      <c r="B457" s="1" t="s">
        <v>19</v>
      </c>
      <c r="C457" s="1" t="s">
        <v>41</v>
      </c>
      <c r="D457" s="0" t="n">
        <v>1121</v>
      </c>
      <c r="E457" s="1" t="s">
        <v>120</v>
      </c>
      <c r="F457" s="0" t="n">
        <f aca="false">SUMIFS(출고!$F$2:$F$1167,출고!$B$2:$B$1167,B457,출고!$C$2:$C$1167,C457)/SUMIFS(출고!$D$2:$D$1167,출고!$B$2:$B$1167,B457,출고!$C$2:$C$1167,C457)</f>
        <v>11026.8192607664</v>
      </c>
      <c r="G457" s="0" t="n">
        <f aca="false">D457*F457</f>
        <v>12361064.3913191</v>
      </c>
      <c r="H457" s="0" t="n">
        <f aca="false">INDEX(마스터!$E:$E,MATCH(C457,마스터!$A:$A,0))</f>
        <v>5480</v>
      </c>
      <c r="I457" s="0" t="n">
        <f aca="false">IF(OR(E457="개정판교체",E457="파본"),0,D457*H457)</f>
        <v>0</v>
      </c>
    </row>
    <row r="458" customFormat="false" ht="15" hidden="false" customHeight="false" outlineLevel="0" collapsed="false">
      <c r="A458" s="0" t="s">
        <v>105</v>
      </c>
      <c r="B458" s="1" t="s">
        <v>19</v>
      </c>
      <c r="C458" s="1" t="s">
        <v>42</v>
      </c>
      <c r="D458" s="0" t="n">
        <v>583</v>
      </c>
      <c r="E458" s="1" t="s">
        <v>119</v>
      </c>
      <c r="F458" s="0" t="n">
        <f aca="false">SUMIFS(출고!$F$2:$F$1167,출고!$B$2:$B$1167,B458,출고!$C$2:$C$1167,C458)/SUMIFS(출고!$D$2:$D$1167,출고!$B$2:$B$1167,B458,출고!$C$2:$C$1167,C458)</f>
        <v>12320.7000946074</v>
      </c>
      <c r="G458" s="0" t="n">
        <f aca="false">D458*F458</f>
        <v>7182968.1551561</v>
      </c>
      <c r="H458" s="0" t="n">
        <f aca="false">INDEX(마스터!$E:$E,MATCH(C458,마스터!$A:$A,0))</f>
        <v>6730</v>
      </c>
      <c r="I458" s="0" t="n">
        <f aca="false">IF(OR(E458="개정판교체",E458="파본"),0,D458*H458)</f>
        <v>3923590</v>
      </c>
    </row>
    <row r="459" customFormat="false" ht="15" hidden="false" customHeight="false" outlineLevel="0" collapsed="false">
      <c r="A459" s="0" t="s">
        <v>105</v>
      </c>
      <c r="B459" s="1" t="s">
        <v>19</v>
      </c>
      <c r="C459" s="1" t="s">
        <v>42</v>
      </c>
      <c r="D459" s="0" t="n">
        <v>357</v>
      </c>
      <c r="E459" s="1" t="s">
        <v>118</v>
      </c>
      <c r="F459" s="0" t="n">
        <f aca="false">SUMIFS(출고!$F$2:$F$1167,출고!$B$2:$B$1167,B459,출고!$C$2:$C$1167,C459)/SUMIFS(출고!$D$2:$D$1167,출고!$B$2:$B$1167,B459,출고!$C$2:$C$1167,C459)</f>
        <v>12320.7000946074</v>
      </c>
      <c r="G459" s="0" t="n">
        <f aca="false">D459*F459</f>
        <v>4398489.93377483</v>
      </c>
      <c r="H459" s="0" t="n">
        <f aca="false">INDEX(마스터!$E:$E,MATCH(C459,마스터!$A:$A,0))</f>
        <v>6730</v>
      </c>
      <c r="I459" s="0" t="n">
        <f aca="false">IF(OR(E459="개정판교체",E459="파본"),0,D459*H459)</f>
        <v>0</v>
      </c>
    </row>
    <row r="460" customFormat="false" ht="15" hidden="false" customHeight="false" outlineLevel="0" collapsed="false">
      <c r="A460" s="0" t="s">
        <v>105</v>
      </c>
      <c r="B460" s="1" t="s">
        <v>19</v>
      </c>
      <c r="C460" s="1" t="s">
        <v>55</v>
      </c>
      <c r="D460" s="0" t="n">
        <v>689</v>
      </c>
      <c r="E460" s="1" t="s">
        <v>117</v>
      </c>
      <c r="F460" s="0" t="n">
        <f aca="false">SUMIFS(출고!$F$2:$F$1167,출고!$B$2:$B$1167,B460,출고!$C$2:$C$1167,C460)/SUMIFS(출고!$D$2:$D$1167,출고!$B$2:$B$1167,B460,출고!$C$2:$C$1167,C460)</f>
        <v>11992.2881355932</v>
      </c>
      <c r="G460" s="0" t="n">
        <f aca="false">D460*F460</f>
        <v>8262686.52542373</v>
      </c>
      <c r="H460" s="0" t="n">
        <f aca="false">INDEX(마스터!$E:$E,MATCH(C460,마스터!$A:$A,0))</f>
        <v>6040</v>
      </c>
      <c r="I460" s="0" t="n">
        <f aca="false">IF(OR(E460="개정판교체",E460="파본"),0,D460*H460)</f>
        <v>4161560</v>
      </c>
    </row>
    <row r="461" customFormat="false" ht="15" hidden="false" customHeight="false" outlineLevel="0" collapsed="false">
      <c r="A461" s="0" t="s">
        <v>105</v>
      </c>
      <c r="B461" s="1" t="s">
        <v>19</v>
      </c>
      <c r="C461" s="1" t="s">
        <v>55</v>
      </c>
      <c r="D461" s="0" t="n">
        <v>371</v>
      </c>
      <c r="E461" s="1" t="s">
        <v>118</v>
      </c>
      <c r="F461" s="0" t="n">
        <f aca="false">SUMIFS(출고!$F$2:$F$1167,출고!$B$2:$B$1167,B461,출고!$C$2:$C$1167,C461)/SUMIFS(출고!$D$2:$D$1167,출고!$B$2:$B$1167,B461,출고!$C$2:$C$1167,C461)</f>
        <v>11992.2881355932</v>
      </c>
      <c r="G461" s="0" t="n">
        <f aca="false">D461*F461</f>
        <v>4449138.89830509</v>
      </c>
      <c r="H461" s="0" t="n">
        <f aca="false">INDEX(마스터!$E:$E,MATCH(C461,마스터!$A:$A,0))</f>
        <v>6040</v>
      </c>
      <c r="I461" s="0" t="n">
        <f aca="false">IF(OR(E461="개정판교체",E461="파본"),0,D461*H461)</f>
        <v>0</v>
      </c>
    </row>
    <row r="462" customFormat="false" ht="15" hidden="false" customHeight="false" outlineLevel="0" collapsed="false">
      <c r="A462" s="0" t="s">
        <v>105</v>
      </c>
      <c r="B462" s="1" t="s">
        <v>20</v>
      </c>
      <c r="C462" s="1" t="s">
        <v>68</v>
      </c>
      <c r="D462" s="0" t="n">
        <v>803</v>
      </c>
      <c r="E462" s="1" t="s">
        <v>116</v>
      </c>
      <c r="F462" s="0" t="n">
        <f aca="false">SUMIFS(출고!$F$2:$F$1167,출고!$B$2:$B$1167,B462,출고!$C$2:$C$1167,C462)/SUMIFS(출고!$D$2:$D$1167,출고!$B$2:$B$1167,B462,출고!$C$2:$C$1167,C462)</f>
        <v>10601.9769119769</v>
      </c>
      <c r="G462" s="0" t="n">
        <f aca="false">D462*F462</f>
        <v>8513387.46031746</v>
      </c>
      <c r="H462" s="0" t="n">
        <f aca="false">INDEX(마스터!$E:$E,MATCH(C462,마스터!$A:$A,0))</f>
        <v>4880</v>
      </c>
      <c r="I462" s="0" t="n">
        <f aca="false">IF(OR(E462="개정판교체",E462="파본"),0,D462*H462)</f>
        <v>3918640</v>
      </c>
    </row>
    <row r="463" customFormat="false" ht="15" hidden="false" customHeight="false" outlineLevel="0" collapsed="false">
      <c r="A463" s="0" t="s">
        <v>105</v>
      </c>
      <c r="B463" s="1" t="s">
        <v>21</v>
      </c>
      <c r="C463" s="1" t="s">
        <v>36</v>
      </c>
      <c r="D463" s="0" t="n">
        <v>2190</v>
      </c>
      <c r="E463" s="1" t="s">
        <v>116</v>
      </c>
      <c r="F463" s="0" t="n">
        <f aca="false">SUMIFS(출고!$F$2:$F$1167,출고!$B$2:$B$1167,B463,출고!$C$2:$C$1167,C463)/SUMIFS(출고!$D$2:$D$1167,출고!$B$2:$B$1167,B463,출고!$C$2:$C$1167,C463)</f>
        <v>10154.4386494647</v>
      </c>
      <c r="G463" s="0" t="n">
        <f aca="false">D463*F463</f>
        <v>22238220.6423278</v>
      </c>
      <c r="H463" s="0" t="n">
        <f aca="false">INDEX(마스터!$E:$E,MATCH(C463,마스터!$A:$A,0))</f>
        <v>4540</v>
      </c>
      <c r="I463" s="0" t="n">
        <f aca="false">IF(OR(E463="개정판교체",E463="파본"),0,D463*H463)</f>
        <v>9942600</v>
      </c>
    </row>
    <row r="464" customFormat="false" ht="15" hidden="false" customHeight="false" outlineLevel="0" collapsed="false">
      <c r="A464" s="0" t="s">
        <v>105</v>
      </c>
      <c r="B464" s="1" t="s">
        <v>22</v>
      </c>
      <c r="C464" s="1" t="s">
        <v>42</v>
      </c>
      <c r="D464" s="0" t="n">
        <v>447</v>
      </c>
      <c r="E464" s="1" t="s">
        <v>116</v>
      </c>
      <c r="F464" s="0" t="n">
        <f aca="false">SUMIFS(출고!$F$2:$F$1167,출고!$B$2:$B$1167,B464,출고!$C$2:$C$1167,C464)/SUMIFS(출고!$D$2:$D$1167,출고!$B$2:$B$1167,B464,출고!$C$2:$C$1167,C464)</f>
        <v>13347.9758011772</v>
      </c>
      <c r="G464" s="0" t="n">
        <f aca="false">D464*F464</f>
        <v>5966545.18312623</v>
      </c>
      <c r="H464" s="0" t="n">
        <f aca="false">INDEX(마스터!$E:$E,MATCH(C464,마스터!$A:$A,0))</f>
        <v>6730</v>
      </c>
      <c r="I464" s="0" t="n">
        <f aca="false">IF(OR(E464="개정판교체",E464="파본"),0,D464*H464)</f>
        <v>3008310</v>
      </c>
    </row>
    <row r="465" customFormat="false" ht="15" hidden="false" customHeight="false" outlineLevel="0" collapsed="false">
      <c r="A465" s="0" t="s">
        <v>105</v>
      </c>
      <c r="B465" s="1" t="s">
        <v>22</v>
      </c>
      <c r="C465" s="1" t="s">
        <v>42</v>
      </c>
      <c r="D465" s="0" t="n">
        <v>274</v>
      </c>
      <c r="E465" s="1" t="s">
        <v>118</v>
      </c>
      <c r="F465" s="0" t="n">
        <f aca="false">SUMIFS(출고!$F$2:$F$1167,출고!$B$2:$B$1167,B465,출고!$C$2:$C$1167,C465)/SUMIFS(출고!$D$2:$D$1167,출고!$B$2:$B$1167,B465,출고!$C$2:$C$1167,C465)</f>
        <v>13347.9758011772</v>
      </c>
      <c r="G465" s="0" t="n">
        <f aca="false">D465*F465</f>
        <v>3657345.36952256</v>
      </c>
      <c r="H465" s="0" t="n">
        <f aca="false">INDEX(마스터!$E:$E,MATCH(C465,마스터!$A:$A,0))</f>
        <v>6730</v>
      </c>
      <c r="I465" s="0" t="n">
        <f aca="false">IF(OR(E465="개정판교체",E465="파본"),0,D465*H465)</f>
        <v>0</v>
      </c>
    </row>
    <row r="466" customFormat="false" ht="15" hidden="false" customHeight="false" outlineLevel="0" collapsed="false">
      <c r="A466" s="0" t="s">
        <v>105</v>
      </c>
      <c r="B466" s="1" t="s">
        <v>22</v>
      </c>
      <c r="C466" s="1" t="s">
        <v>72</v>
      </c>
      <c r="D466" s="0" t="n">
        <v>1029</v>
      </c>
      <c r="E466" s="1" t="s">
        <v>116</v>
      </c>
      <c r="F466" s="0" t="n">
        <f aca="false">SUMIFS(출고!$F$2:$F$1167,출고!$B$2:$B$1167,B466,출고!$C$2:$C$1167,C466)/SUMIFS(출고!$D$2:$D$1167,출고!$B$2:$B$1167,B466,출고!$C$2:$C$1167,C466)</f>
        <v>12277.8657014478</v>
      </c>
      <c r="G466" s="0" t="n">
        <f aca="false">D466*F466</f>
        <v>12633923.8067898</v>
      </c>
      <c r="H466" s="0" t="n">
        <f aca="false">INDEX(마스터!$E:$E,MATCH(C466,마스터!$A:$A,0))</f>
        <v>5920</v>
      </c>
      <c r="I466" s="0" t="n">
        <f aca="false">IF(OR(E466="개정판교체",E466="파본"),0,D466*H466)</f>
        <v>6091680</v>
      </c>
    </row>
    <row r="467" customFormat="false" ht="15" hidden="false" customHeight="false" outlineLevel="0" collapsed="false">
      <c r="A467" s="0" t="s">
        <v>105</v>
      </c>
      <c r="B467" s="1" t="s">
        <v>23</v>
      </c>
      <c r="C467" s="1" t="s">
        <v>48</v>
      </c>
      <c r="D467" s="0" t="n">
        <v>925</v>
      </c>
      <c r="E467" s="1" t="s">
        <v>117</v>
      </c>
      <c r="F467" s="0" t="n">
        <f aca="false">SUMIFS(출고!$F$2:$F$1167,출고!$B$2:$B$1167,B467,출고!$C$2:$C$1167,C467)/SUMIFS(출고!$D$2:$D$1167,출고!$B$2:$B$1167,B467,출고!$C$2:$C$1167,C467)</f>
        <v>12920.1664254703</v>
      </c>
      <c r="G467" s="0" t="n">
        <f aca="false">D467*F467</f>
        <v>11951153.9435601</v>
      </c>
      <c r="H467" s="0" t="n">
        <f aca="false">INDEX(마스터!$E:$E,MATCH(C467,마스터!$A:$A,0))</f>
        <v>6440</v>
      </c>
      <c r="I467" s="0" t="n">
        <f aca="false">IF(OR(E467="개정판교체",E467="파본"),0,D467*H467)</f>
        <v>5957000</v>
      </c>
    </row>
    <row r="468" customFormat="false" ht="15" hidden="false" customHeight="false" outlineLevel="0" collapsed="false">
      <c r="A468" s="0" t="s">
        <v>105</v>
      </c>
      <c r="B468" s="1" t="s">
        <v>23</v>
      </c>
      <c r="C468" s="1" t="s">
        <v>48</v>
      </c>
      <c r="D468" s="0" t="n">
        <v>788</v>
      </c>
      <c r="E468" s="1" t="s">
        <v>118</v>
      </c>
      <c r="F468" s="0" t="n">
        <f aca="false">SUMIFS(출고!$F$2:$F$1167,출고!$B$2:$B$1167,B468,출고!$C$2:$C$1167,C468)/SUMIFS(출고!$D$2:$D$1167,출고!$B$2:$B$1167,B468,출고!$C$2:$C$1167,C468)</f>
        <v>12920.1664254703</v>
      </c>
      <c r="G468" s="0" t="n">
        <f aca="false">D468*F468</f>
        <v>10181091.1432706</v>
      </c>
      <c r="H468" s="0" t="n">
        <f aca="false">INDEX(마스터!$E:$E,MATCH(C468,마스터!$A:$A,0))</f>
        <v>6440</v>
      </c>
      <c r="I468" s="0" t="n">
        <f aca="false">IF(OR(E468="개정판교체",E468="파본"),0,D468*H468)</f>
        <v>0</v>
      </c>
    </row>
    <row r="469" customFormat="false" ht="15" hidden="false" customHeight="false" outlineLevel="0" collapsed="false">
      <c r="A469" s="0" t="s">
        <v>105</v>
      </c>
      <c r="B469" s="1" t="s">
        <v>25</v>
      </c>
      <c r="C469" s="1" t="s">
        <v>37</v>
      </c>
      <c r="D469" s="0" t="n">
        <v>965</v>
      </c>
      <c r="E469" s="1" t="s">
        <v>116</v>
      </c>
      <c r="F469" s="0" t="n">
        <f aca="false">SUMIFS(출고!$F$2:$F$1167,출고!$B$2:$B$1167,B469,출고!$C$2:$C$1167,C469)/SUMIFS(출고!$D$2:$D$1167,출고!$B$2:$B$1167,B469,출고!$C$2:$C$1167,C469)</f>
        <v>10496.6887661142</v>
      </c>
      <c r="G469" s="0" t="n">
        <f aca="false">D469*F469</f>
        <v>10129304.6593002</v>
      </c>
      <c r="H469" s="0" t="n">
        <f aca="false">INDEX(마스터!$E:$E,MATCH(C469,마스터!$A:$A,0))</f>
        <v>4900</v>
      </c>
      <c r="I469" s="0" t="n">
        <f aca="false">IF(OR(E469="개정판교체",E469="파본"),0,D469*H469)</f>
        <v>4728500</v>
      </c>
    </row>
    <row r="470" customFormat="false" ht="15" hidden="false" customHeight="false" outlineLevel="0" collapsed="false">
      <c r="A470" s="0" t="s">
        <v>105</v>
      </c>
      <c r="B470" s="1" t="s">
        <v>24</v>
      </c>
      <c r="C470" s="1" t="s">
        <v>59</v>
      </c>
      <c r="D470" s="0" t="n">
        <v>1013</v>
      </c>
      <c r="E470" s="1" t="s">
        <v>116</v>
      </c>
      <c r="F470" s="0" t="n">
        <f aca="false">SUMIFS(출고!$F$2:$F$1167,출고!$B$2:$B$1167,B470,출고!$C$2:$C$1167,C470)/SUMIFS(출고!$D$2:$D$1167,출고!$B$2:$B$1167,B470,출고!$C$2:$C$1167,C470)</f>
        <v>14021.1489173663</v>
      </c>
      <c r="G470" s="0" t="n">
        <f aca="false">D470*F470</f>
        <v>14203423.8532921</v>
      </c>
      <c r="H470" s="0" t="n">
        <f aca="false">INDEX(마스터!$E:$E,MATCH(C470,마스터!$A:$A,0))</f>
        <v>6520</v>
      </c>
      <c r="I470" s="0" t="n">
        <f aca="false">IF(OR(E470="개정판교체",E470="파본"),0,D470*H470)</f>
        <v>6604760</v>
      </c>
    </row>
    <row r="471" customFormat="false" ht="15" hidden="false" customHeight="false" outlineLevel="0" collapsed="false">
      <c r="A471" s="0" t="s">
        <v>106</v>
      </c>
      <c r="B471" s="1" t="s">
        <v>14</v>
      </c>
      <c r="C471" s="1" t="s">
        <v>60</v>
      </c>
      <c r="D471" s="0" t="n">
        <v>4157</v>
      </c>
      <c r="E471" s="1" t="s">
        <v>116</v>
      </c>
      <c r="F471" s="0" t="n">
        <f aca="false">SUMIFS(출고!$F$2:$F$1167,출고!$B$2:$B$1167,B471,출고!$C$2:$C$1167,C471)/SUMIFS(출고!$D$2:$D$1167,출고!$B$2:$B$1167,B471,출고!$C$2:$C$1167,C471)</f>
        <v>12566.7032287965</v>
      </c>
      <c r="G471" s="0" t="n">
        <f aca="false">D471*F471</f>
        <v>52239785.3221072</v>
      </c>
      <c r="H471" s="0" t="n">
        <f aca="false">INDEX(마스터!$E:$E,MATCH(C471,마스터!$A:$A,0))</f>
        <v>6980</v>
      </c>
      <c r="I471" s="0" t="n">
        <f aca="false">IF(OR(E471="개정판교체",E471="파본"),0,D471*H471)</f>
        <v>29015860</v>
      </c>
    </row>
    <row r="472" customFormat="false" ht="15" hidden="false" customHeight="false" outlineLevel="0" collapsed="false">
      <c r="A472" s="0" t="s">
        <v>106</v>
      </c>
      <c r="B472" s="1" t="s">
        <v>14</v>
      </c>
      <c r="C472" s="1" t="s">
        <v>55</v>
      </c>
      <c r="D472" s="0" t="n">
        <v>2718</v>
      </c>
      <c r="E472" s="1" t="s">
        <v>117</v>
      </c>
      <c r="F472" s="0" t="n">
        <f aca="false">SUMIFS(출고!$F$2:$F$1167,출고!$B$2:$B$1167,B472,출고!$C$2:$C$1167,C472)/SUMIFS(출고!$D$2:$D$1167,출고!$B$2:$B$1167,B472,출고!$C$2:$C$1167,C472)</f>
        <v>11936.2885420632</v>
      </c>
      <c r="G472" s="0" t="n">
        <f aca="false">D472*F472</f>
        <v>32442832.2573278</v>
      </c>
      <c r="H472" s="0" t="n">
        <f aca="false">INDEX(마스터!$E:$E,MATCH(C472,마스터!$A:$A,0))</f>
        <v>6040</v>
      </c>
      <c r="I472" s="0" t="n">
        <f aca="false">IF(OR(E472="개정판교체",E472="파본"),0,D472*H472)</f>
        <v>16416720</v>
      </c>
    </row>
    <row r="473" customFormat="false" ht="15" hidden="false" customHeight="false" outlineLevel="0" collapsed="false">
      <c r="A473" s="0" t="s">
        <v>106</v>
      </c>
      <c r="B473" s="1" t="s">
        <v>14</v>
      </c>
      <c r="C473" s="1" t="s">
        <v>55</v>
      </c>
      <c r="D473" s="0" t="n">
        <v>1464</v>
      </c>
      <c r="E473" s="1" t="s">
        <v>118</v>
      </c>
      <c r="F473" s="0" t="n">
        <f aca="false">SUMIFS(출고!$F$2:$F$1167,출고!$B$2:$B$1167,B473,출고!$C$2:$C$1167,C473)/SUMIFS(출고!$D$2:$D$1167,출고!$B$2:$B$1167,B473,출고!$C$2:$C$1167,C473)</f>
        <v>11936.2885420632</v>
      </c>
      <c r="G473" s="0" t="n">
        <f aca="false">D473*F473</f>
        <v>17474726.4255805</v>
      </c>
      <c r="H473" s="0" t="n">
        <f aca="false">INDEX(마스터!$E:$E,MATCH(C473,마스터!$A:$A,0))</f>
        <v>6040</v>
      </c>
      <c r="I473" s="0" t="n">
        <f aca="false">IF(OR(E473="개정판교체",E473="파본"),0,D473*H473)</f>
        <v>0</v>
      </c>
    </row>
    <row r="474" customFormat="false" ht="15" hidden="false" customHeight="false" outlineLevel="0" collapsed="false">
      <c r="A474" s="0" t="s">
        <v>106</v>
      </c>
      <c r="B474" s="1" t="s">
        <v>14</v>
      </c>
      <c r="C474" s="1" t="s">
        <v>35</v>
      </c>
      <c r="D474" s="0" t="n">
        <v>4031</v>
      </c>
      <c r="E474" s="1" t="s">
        <v>117</v>
      </c>
      <c r="F474" s="0" t="n">
        <f aca="false">SUMIFS(출고!$F$2:$F$1167,출고!$B$2:$B$1167,B474,출고!$C$2:$C$1167,C474)/SUMIFS(출고!$D$2:$D$1167,출고!$B$2:$B$1167,B474,출고!$C$2:$C$1167,C474)</f>
        <v>9672.97107438017</v>
      </c>
      <c r="G474" s="0" t="n">
        <f aca="false">D474*F474</f>
        <v>38991746.4008265</v>
      </c>
      <c r="H474" s="0" t="n">
        <f aca="false">INDEX(마스터!$E:$E,MATCH(C474,마스터!$A:$A,0))</f>
        <v>4920</v>
      </c>
      <c r="I474" s="0" t="n">
        <f aca="false">IF(OR(E474="개정판교체",E474="파본"),0,D474*H474)</f>
        <v>19832520</v>
      </c>
    </row>
    <row r="475" customFormat="false" ht="15" hidden="false" customHeight="false" outlineLevel="0" collapsed="false">
      <c r="A475" s="0" t="s">
        <v>106</v>
      </c>
      <c r="B475" s="1" t="s">
        <v>15</v>
      </c>
      <c r="C475" s="1" t="s">
        <v>60</v>
      </c>
      <c r="D475" s="0" t="n">
        <v>1426</v>
      </c>
      <c r="E475" s="1" t="s">
        <v>116</v>
      </c>
      <c r="F475" s="0" t="n">
        <f aca="false">SUMIFS(출고!$F$2:$F$1167,출고!$B$2:$B$1167,B475,출고!$C$2:$C$1167,C475)/SUMIFS(출고!$D$2:$D$1167,출고!$B$2:$B$1167,B475,출고!$C$2:$C$1167,C475)</f>
        <v>12667.4119865884</v>
      </c>
      <c r="G475" s="0" t="n">
        <f aca="false">D475*F475</f>
        <v>18063729.4928751</v>
      </c>
      <c r="H475" s="0" t="n">
        <f aca="false">INDEX(마스터!$E:$E,MATCH(C475,마스터!$A:$A,0))</f>
        <v>6980</v>
      </c>
      <c r="I475" s="0" t="n">
        <f aca="false">IF(OR(E475="개정판교체",E475="파본"),0,D475*H475)</f>
        <v>9953480</v>
      </c>
    </row>
    <row r="476" customFormat="false" ht="15" hidden="false" customHeight="false" outlineLevel="0" collapsed="false">
      <c r="A476" s="0" t="s">
        <v>106</v>
      </c>
      <c r="B476" s="1" t="s">
        <v>15</v>
      </c>
      <c r="C476" s="1" t="s">
        <v>47</v>
      </c>
      <c r="D476" s="0" t="n">
        <v>1437</v>
      </c>
      <c r="E476" s="1" t="s">
        <v>117</v>
      </c>
      <c r="F476" s="0" t="n">
        <f aca="false">SUMIFS(출고!$F$2:$F$1167,출고!$B$2:$B$1167,B476,출고!$C$2:$C$1167,C476)/SUMIFS(출고!$D$2:$D$1167,출고!$B$2:$B$1167,B476,출고!$C$2:$C$1167,C476)</f>
        <v>8455.46315291147</v>
      </c>
      <c r="G476" s="0" t="n">
        <f aca="false">D476*F476</f>
        <v>12150500.5507338</v>
      </c>
      <c r="H476" s="0" t="n">
        <f aca="false">INDEX(마스터!$E:$E,MATCH(C476,마스터!$A:$A,0))</f>
        <v>4170</v>
      </c>
      <c r="I476" s="0" t="n">
        <f aca="false">IF(OR(E476="개정판교체",E476="파본"),0,D476*H476)</f>
        <v>5992290</v>
      </c>
    </row>
    <row r="477" customFormat="false" ht="15" hidden="false" customHeight="false" outlineLevel="0" collapsed="false">
      <c r="A477" s="0" t="s">
        <v>106</v>
      </c>
      <c r="B477" s="1" t="s">
        <v>16</v>
      </c>
      <c r="C477" s="1" t="s">
        <v>48</v>
      </c>
      <c r="D477" s="0" t="n">
        <v>699</v>
      </c>
      <c r="E477" s="1" t="s">
        <v>116</v>
      </c>
      <c r="F477" s="0" t="n">
        <f aca="false">SUMIFS(출고!$F$2:$F$1167,출고!$B$2:$B$1167,B477,출고!$C$2:$C$1167,C477)/SUMIFS(출고!$D$2:$D$1167,출고!$B$2:$B$1167,B477,출고!$C$2:$C$1167,C477)</f>
        <v>13020</v>
      </c>
      <c r="G477" s="0" t="n">
        <f aca="false">D477*F477</f>
        <v>9100980</v>
      </c>
      <c r="H477" s="0" t="n">
        <f aca="false">INDEX(마스터!$E:$E,MATCH(C477,마스터!$A:$A,0))</f>
        <v>6440</v>
      </c>
      <c r="I477" s="0" t="n">
        <f aca="false">IF(OR(E477="개정판교체",E477="파본"),0,D477*H477)</f>
        <v>4501560</v>
      </c>
    </row>
    <row r="478" customFormat="false" ht="15" hidden="false" customHeight="false" outlineLevel="0" collapsed="false">
      <c r="A478" s="0" t="s">
        <v>106</v>
      </c>
      <c r="B478" s="1" t="s">
        <v>16</v>
      </c>
      <c r="C478" s="1" t="s">
        <v>48</v>
      </c>
      <c r="D478" s="0" t="n">
        <v>596</v>
      </c>
      <c r="E478" s="1" t="s">
        <v>118</v>
      </c>
      <c r="F478" s="0" t="n">
        <f aca="false">SUMIFS(출고!$F$2:$F$1167,출고!$B$2:$B$1167,B478,출고!$C$2:$C$1167,C478)/SUMIFS(출고!$D$2:$D$1167,출고!$B$2:$B$1167,B478,출고!$C$2:$C$1167,C478)</f>
        <v>13020</v>
      </c>
      <c r="G478" s="0" t="n">
        <f aca="false">D478*F478</f>
        <v>7759920</v>
      </c>
      <c r="H478" s="0" t="n">
        <f aca="false">INDEX(마스터!$E:$E,MATCH(C478,마스터!$A:$A,0))</f>
        <v>6440</v>
      </c>
      <c r="I478" s="0" t="n">
        <f aca="false">IF(OR(E478="개정판교체",E478="파본"),0,D478*H478)</f>
        <v>0</v>
      </c>
    </row>
    <row r="479" customFormat="false" ht="15" hidden="false" customHeight="false" outlineLevel="0" collapsed="false">
      <c r="A479" s="0" t="s">
        <v>106</v>
      </c>
      <c r="B479" s="1" t="s">
        <v>17</v>
      </c>
      <c r="C479" s="1" t="s">
        <v>33</v>
      </c>
      <c r="D479" s="0" t="n">
        <v>946</v>
      </c>
      <c r="E479" s="1" t="s">
        <v>116</v>
      </c>
      <c r="F479" s="0" t="n">
        <f aca="false">SUMIFS(출고!$F$2:$F$1167,출고!$B$2:$B$1167,B479,출고!$C$2:$C$1167,C479)/SUMIFS(출고!$D$2:$D$1167,출고!$B$2:$B$1167,B479,출고!$C$2:$C$1167,C479)</f>
        <v>12257.3281308064</v>
      </c>
      <c r="G479" s="0" t="n">
        <f aca="false">D479*F479</f>
        <v>11595432.4117428</v>
      </c>
      <c r="H479" s="0" t="n">
        <f aca="false">INDEX(마스터!$E:$E,MATCH(C479,마스터!$A:$A,0))</f>
        <v>6790</v>
      </c>
      <c r="I479" s="0" t="n">
        <f aca="false">IF(OR(E479="개정판교체",E479="파본"),0,D479*H479)</f>
        <v>6423340</v>
      </c>
    </row>
    <row r="480" customFormat="false" ht="15" hidden="false" customHeight="false" outlineLevel="0" collapsed="false">
      <c r="A480" s="0" t="s">
        <v>106</v>
      </c>
      <c r="B480" s="1" t="s">
        <v>17</v>
      </c>
      <c r="C480" s="1" t="s">
        <v>71</v>
      </c>
      <c r="D480" s="0" t="n">
        <v>942</v>
      </c>
      <c r="E480" s="1" t="s">
        <v>117</v>
      </c>
      <c r="F480" s="0" t="n">
        <f aca="false">SUMIFS(출고!$F$2:$F$1167,출고!$B$2:$B$1167,B480,출고!$C$2:$C$1167,C480)/SUMIFS(출고!$D$2:$D$1167,출고!$B$2:$B$1167,B480,출고!$C$2:$C$1167,C480)</f>
        <v>8380.27278775782</v>
      </c>
      <c r="G480" s="0" t="n">
        <f aca="false">D480*F480</f>
        <v>7894216.96606787</v>
      </c>
      <c r="H480" s="0" t="n">
        <f aca="false">INDEX(마스터!$E:$E,MATCH(C480,마스터!$A:$A,0))</f>
        <v>4330</v>
      </c>
      <c r="I480" s="0" t="n">
        <f aca="false">IF(OR(E480="개정판교체",E480="파본"),0,D480*H480)</f>
        <v>4078860</v>
      </c>
    </row>
    <row r="481" customFormat="false" ht="15" hidden="false" customHeight="false" outlineLevel="0" collapsed="false">
      <c r="A481" s="0" t="s">
        <v>106</v>
      </c>
      <c r="B481" s="1" t="s">
        <v>18</v>
      </c>
      <c r="C481" s="1" t="s">
        <v>38</v>
      </c>
      <c r="D481" s="0" t="n">
        <v>1117</v>
      </c>
      <c r="E481" s="1" t="s">
        <v>117</v>
      </c>
      <c r="F481" s="0" t="n">
        <f aca="false">SUMIFS(출고!$F$2:$F$1167,출고!$B$2:$B$1167,B481,출고!$C$2:$C$1167,C481)/SUMIFS(출고!$D$2:$D$1167,출고!$B$2:$B$1167,B481,출고!$C$2:$C$1167,C481)</f>
        <v>12371.5517241379</v>
      </c>
      <c r="G481" s="0" t="n">
        <f aca="false">D481*F481</f>
        <v>13819023.2758621</v>
      </c>
      <c r="H481" s="0" t="n">
        <f aca="false">INDEX(마스터!$E:$E,MATCH(C481,마스터!$A:$A,0))</f>
        <v>5670</v>
      </c>
      <c r="I481" s="0" t="n">
        <f aca="false">IF(OR(E481="개정판교체",E481="파본"),0,D481*H481)</f>
        <v>6333390</v>
      </c>
    </row>
    <row r="482" customFormat="false" ht="15" hidden="false" customHeight="false" outlineLevel="0" collapsed="false">
      <c r="A482" s="0" t="s">
        <v>106</v>
      </c>
      <c r="B482" s="1" t="s">
        <v>19</v>
      </c>
      <c r="C482" s="1" t="s">
        <v>55</v>
      </c>
      <c r="D482" s="0" t="n">
        <v>706</v>
      </c>
      <c r="E482" s="1" t="s">
        <v>116</v>
      </c>
      <c r="F482" s="0" t="n">
        <f aca="false">SUMIFS(출고!$F$2:$F$1167,출고!$B$2:$B$1167,B482,출고!$C$2:$C$1167,C482)/SUMIFS(출고!$D$2:$D$1167,출고!$B$2:$B$1167,B482,출고!$C$2:$C$1167,C482)</f>
        <v>11992.2881355932</v>
      </c>
      <c r="G482" s="0" t="n">
        <f aca="false">D482*F482</f>
        <v>8466555.42372881</v>
      </c>
      <c r="H482" s="0" t="n">
        <f aca="false">INDEX(마스터!$E:$E,MATCH(C482,마스터!$A:$A,0))</f>
        <v>6040</v>
      </c>
      <c r="I482" s="0" t="n">
        <f aca="false">IF(OR(E482="개정판교체",E482="파본"),0,D482*H482)</f>
        <v>4264240</v>
      </c>
    </row>
    <row r="483" customFormat="false" ht="15" hidden="false" customHeight="false" outlineLevel="0" collapsed="false">
      <c r="A483" s="0" t="s">
        <v>106</v>
      </c>
      <c r="B483" s="1" t="s">
        <v>19</v>
      </c>
      <c r="C483" s="1" t="s">
        <v>55</v>
      </c>
      <c r="D483" s="0" t="n">
        <v>380</v>
      </c>
      <c r="E483" s="1" t="s">
        <v>118</v>
      </c>
      <c r="F483" s="0" t="n">
        <f aca="false">SUMIFS(출고!$F$2:$F$1167,출고!$B$2:$B$1167,B483,출고!$C$2:$C$1167,C483)/SUMIFS(출고!$D$2:$D$1167,출고!$B$2:$B$1167,B483,출고!$C$2:$C$1167,C483)</f>
        <v>11992.2881355932</v>
      </c>
      <c r="G483" s="0" t="n">
        <f aca="false">D483*F483</f>
        <v>4557069.49152542</v>
      </c>
      <c r="H483" s="0" t="n">
        <f aca="false">INDEX(마스터!$E:$E,MATCH(C483,마스터!$A:$A,0))</f>
        <v>6040</v>
      </c>
      <c r="I483" s="0" t="n">
        <f aca="false">IF(OR(E483="개정판교체",E483="파본"),0,D483*H483)</f>
        <v>0</v>
      </c>
    </row>
    <row r="484" customFormat="false" ht="15" hidden="false" customHeight="false" outlineLevel="0" collapsed="false">
      <c r="A484" s="0" t="s">
        <v>106</v>
      </c>
      <c r="B484" s="1" t="s">
        <v>20</v>
      </c>
      <c r="C484" s="1" t="s">
        <v>68</v>
      </c>
      <c r="D484" s="0" t="n">
        <v>828</v>
      </c>
      <c r="E484" s="1" t="s">
        <v>116</v>
      </c>
      <c r="F484" s="0" t="n">
        <f aca="false">SUMIFS(출고!$F$2:$F$1167,출고!$B$2:$B$1167,B484,출고!$C$2:$C$1167,C484)/SUMIFS(출고!$D$2:$D$1167,출고!$B$2:$B$1167,B484,출고!$C$2:$C$1167,C484)</f>
        <v>10601.9769119769</v>
      </c>
      <c r="G484" s="0" t="n">
        <f aca="false">D484*F484</f>
        <v>8778436.88311688</v>
      </c>
      <c r="H484" s="0" t="n">
        <f aca="false">INDEX(마스터!$E:$E,MATCH(C484,마스터!$A:$A,0))</f>
        <v>4880</v>
      </c>
      <c r="I484" s="0" t="n">
        <f aca="false">IF(OR(E484="개정판교체",E484="파본"),0,D484*H484)</f>
        <v>4040640</v>
      </c>
    </row>
    <row r="485" customFormat="false" ht="15" hidden="false" customHeight="false" outlineLevel="0" collapsed="false">
      <c r="A485" s="0" t="s">
        <v>106</v>
      </c>
      <c r="B485" s="1" t="s">
        <v>21</v>
      </c>
      <c r="C485" s="1" t="s">
        <v>72</v>
      </c>
      <c r="D485" s="0" t="n">
        <v>1561</v>
      </c>
      <c r="E485" s="1" t="s">
        <v>116</v>
      </c>
      <c r="F485" s="0" t="n">
        <f aca="false">SUMIFS(출고!$F$2:$F$1167,출고!$B$2:$B$1167,B485,출고!$C$2:$C$1167,C485)/SUMIFS(출고!$D$2:$D$1167,출고!$B$2:$B$1167,B485,출고!$C$2:$C$1167,C485)</f>
        <v>12263.2052376886</v>
      </c>
      <c r="G485" s="0" t="n">
        <f aca="false">D485*F485</f>
        <v>19142863.3760319</v>
      </c>
      <c r="H485" s="0" t="n">
        <f aca="false">INDEX(마스터!$E:$E,MATCH(C485,마스터!$A:$A,0))</f>
        <v>5920</v>
      </c>
      <c r="I485" s="0" t="n">
        <f aca="false">IF(OR(E485="개정판교체",E485="파본"),0,D485*H485)</f>
        <v>9241120</v>
      </c>
    </row>
    <row r="486" customFormat="false" ht="15" hidden="false" customHeight="false" outlineLevel="0" collapsed="false">
      <c r="A486" s="0" t="s">
        <v>106</v>
      </c>
      <c r="B486" s="1" t="s">
        <v>22</v>
      </c>
      <c r="C486" s="1" t="s">
        <v>72</v>
      </c>
      <c r="D486" s="0" t="n">
        <v>1393</v>
      </c>
      <c r="E486" s="1" t="s">
        <v>116</v>
      </c>
      <c r="F486" s="0" t="n">
        <f aca="false">SUMIFS(출고!$F$2:$F$1167,출고!$B$2:$B$1167,B486,출고!$C$2:$C$1167,C486)/SUMIFS(출고!$D$2:$D$1167,출고!$B$2:$B$1167,B486,출고!$C$2:$C$1167,C486)</f>
        <v>12277.8657014478</v>
      </c>
      <c r="G486" s="0" t="n">
        <f aca="false">D486*F486</f>
        <v>17103066.9221168</v>
      </c>
      <c r="H486" s="0" t="n">
        <f aca="false">INDEX(마스터!$E:$E,MATCH(C486,마스터!$A:$A,0))</f>
        <v>5920</v>
      </c>
      <c r="I486" s="0" t="n">
        <f aca="false">IF(OR(E486="개정판교체",E486="파본"),0,D486*H486)</f>
        <v>8246560</v>
      </c>
    </row>
    <row r="487" customFormat="false" ht="15" hidden="false" customHeight="false" outlineLevel="0" collapsed="false">
      <c r="A487" s="0" t="s">
        <v>106</v>
      </c>
      <c r="B487" s="1" t="s">
        <v>23</v>
      </c>
      <c r="C487" s="1" t="s">
        <v>48</v>
      </c>
      <c r="D487" s="0" t="n">
        <v>617</v>
      </c>
      <c r="E487" s="1" t="s">
        <v>116</v>
      </c>
      <c r="F487" s="0" t="n">
        <f aca="false">SUMIFS(출고!$F$2:$F$1167,출고!$B$2:$B$1167,B487,출고!$C$2:$C$1167,C487)/SUMIFS(출고!$D$2:$D$1167,출고!$B$2:$B$1167,B487,출고!$C$2:$C$1167,C487)</f>
        <v>12920.1664254703</v>
      </c>
      <c r="G487" s="0" t="n">
        <f aca="false">D487*F487</f>
        <v>7971742.6845152</v>
      </c>
      <c r="H487" s="0" t="n">
        <f aca="false">INDEX(마스터!$E:$E,MATCH(C487,마스터!$A:$A,0))</f>
        <v>6440</v>
      </c>
      <c r="I487" s="0" t="n">
        <f aca="false">IF(OR(E487="개정판교체",E487="파본"),0,D487*H487)</f>
        <v>3973480</v>
      </c>
    </row>
    <row r="488" customFormat="false" ht="15" hidden="false" customHeight="false" outlineLevel="0" collapsed="false">
      <c r="A488" s="0" t="s">
        <v>106</v>
      </c>
      <c r="B488" s="1" t="s">
        <v>23</v>
      </c>
      <c r="C488" s="1" t="s">
        <v>48</v>
      </c>
      <c r="D488" s="0" t="n">
        <v>525</v>
      </c>
      <c r="E488" s="1" t="s">
        <v>118</v>
      </c>
      <c r="F488" s="0" t="n">
        <f aca="false">SUMIFS(출고!$F$2:$F$1167,출고!$B$2:$B$1167,B488,출고!$C$2:$C$1167,C488)/SUMIFS(출고!$D$2:$D$1167,출고!$B$2:$B$1167,B488,출고!$C$2:$C$1167,C488)</f>
        <v>12920.1664254703</v>
      </c>
      <c r="G488" s="0" t="n">
        <f aca="false">D488*F488</f>
        <v>6783087.37337193</v>
      </c>
      <c r="H488" s="0" t="n">
        <f aca="false">INDEX(마스터!$E:$E,MATCH(C488,마스터!$A:$A,0))</f>
        <v>6440</v>
      </c>
      <c r="I488" s="0" t="n">
        <f aca="false">IF(OR(E488="개정판교체",E488="파본"),0,D488*H488)</f>
        <v>0</v>
      </c>
    </row>
    <row r="489" customFormat="false" ht="15" hidden="false" customHeight="false" outlineLevel="0" collapsed="false">
      <c r="A489" s="0" t="s">
        <v>106</v>
      </c>
      <c r="B489" s="1" t="s">
        <v>25</v>
      </c>
      <c r="C489" s="1" t="s">
        <v>37</v>
      </c>
      <c r="D489" s="0" t="n">
        <v>369</v>
      </c>
      <c r="E489" s="1" t="s">
        <v>117</v>
      </c>
      <c r="F489" s="0" t="n">
        <f aca="false">SUMIFS(출고!$F$2:$F$1167,출고!$B$2:$B$1167,B489,출고!$C$2:$C$1167,C489)/SUMIFS(출고!$D$2:$D$1167,출고!$B$2:$B$1167,B489,출고!$C$2:$C$1167,C489)</f>
        <v>10496.6887661142</v>
      </c>
      <c r="G489" s="0" t="n">
        <f aca="false">D489*F489</f>
        <v>3873278.15469613</v>
      </c>
      <c r="H489" s="0" t="n">
        <f aca="false">INDEX(마스터!$E:$E,MATCH(C489,마스터!$A:$A,0))</f>
        <v>4900</v>
      </c>
      <c r="I489" s="0" t="n">
        <f aca="false">IF(OR(E489="개정판교체",E489="파본"),0,D489*H489)</f>
        <v>1808100</v>
      </c>
    </row>
    <row r="490" customFormat="false" ht="15" hidden="false" customHeight="false" outlineLevel="0" collapsed="false">
      <c r="A490" s="0" t="s">
        <v>106</v>
      </c>
      <c r="B490" s="1" t="s">
        <v>24</v>
      </c>
      <c r="C490" s="1" t="s">
        <v>47</v>
      </c>
      <c r="D490" s="0" t="n">
        <v>995</v>
      </c>
      <c r="E490" s="1" t="s">
        <v>116</v>
      </c>
      <c r="F490" s="0" t="n">
        <f aca="false">SUMIFS(출고!$F$2:$F$1167,출고!$B$2:$B$1167,B490,출고!$C$2:$C$1167,C490)/SUMIFS(출고!$D$2:$D$1167,출고!$B$2:$B$1167,B490,출고!$C$2:$C$1167,C490)</f>
        <v>9119.17616126205</v>
      </c>
      <c r="G490" s="0" t="n">
        <f aca="false">D490*F490</f>
        <v>9073580.28045574</v>
      </c>
      <c r="H490" s="0" t="n">
        <f aca="false">INDEX(마스터!$E:$E,MATCH(C490,마스터!$A:$A,0))</f>
        <v>4170</v>
      </c>
      <c r="I490" s="0" t="n">
        <f aca="false">IF(OR(E490="개정판교체",E490="파본"),0,D490*H490)</f>
        <v>4149150</v>
      </c>
    </row>
    <row r="491" customFormat="false" ht="15" hidden="false" customHeight="false" outlineLevel="0" collapsed="false">
      <c r="A491" s="0" t="s">
        <v>107</v>
      </c>
      <c r="B491" s="1" t="s">
        <v>14</v>
      </c>
      <c r="C491" s="1" t="s">
        <v>60</v>
      </c>
      <c r="D491" s="0" t="n">
        <v>3086</v>
      </c>
      <c r="E491" s="1" t="s">
        <v>120</v>
      </c>
      <c r="F491" s="0" t="n">
        <f aca="false">SUMIFS(출고!$F$2:$F$1167,출고!$B$2:$B$1167,B491,출고!$C$2:$C$1167,C491)/SUMIFS(출고!$D$2:$D$1167,출고!$B$2:$B$1167,B491,출고!$C$2:$C$1167,C491)</f>
        <v>12566.7032287965</v>
      </c>
      <c r="G491" s="0" t="n">
        <f aca="false">D491*F491</f>
        <v>38780846.1640661</v>
      </c>
      <c r="H491" s="0" t="n">
        <f aca="false">INDEX(마스터!$E:$E,MATCH(C491,마스터!$A:$A,0))</f>
        <v>6980</v>
      </c>
      <c r="I491" s="0" t="n">
        <f aca="false">IF(OR(E491="개정판교체",E491="파본"),0,D491*H491)</f>
        <v>0</v>
      </c>
    </row>
    <row r="492" customFormat="false" ht="15" hidden="false" customHeight="false" outlineLevel="0" collapsed="false">
      <c r="A492" s="0" t="s">
        <v>107</v>
      </c>
      <c r="B492" s="1" t="s">
        <v>14</v>
      </c>
      <c r="C492" s="1" t="s">
        <v>60</v>
      </c>
      <c r="D492" s="0" t="n">
        <v>545</v>
      </c>
      <c r="E492" s="1" t="s">
        <v>116</v>
      </c>
      <c r="F492" s="0" t="n">
        <f aca="false">SUMIFS(출고!$F$2:$F$1167,출고!$B$2:$B$1167,B492,출고!$C$2:$C$1167,C492)/SUMIFS(출고!$D$2:$D$1167,출고!$B$2:$B$1167,B492,출고!$C$2:$C$1167,C492)</f>
        <v>12566.7032287965</v>
      </c>
      <c r="G492" s="0" t="n">
        <f aca="false">D492*F492</f>
        <v>6848853.25969411</v>
      </c>
      <c r="H492" s="0" t="n">
        <f aca="false">INDEX(마스터!$E:$E,MATCH(C492,마스터!$A:$A,0))</f>
        <v>6980</v>
      </c>
      <c r="I492" s="0" t="n">
        <f aca="false">IF(OR(E492="개정판교체",E492="파본"),0,D492*H492)</f>
        <v>3804100</v>
      </c>
    </row>
    <row r="493" customFormat="false" ht="15" hidden="false" customHeight="false" outlineLevel="0" collapsed="false">
      <c r="A493" s="0" t="s">
        <v>107</v>
      </c>
      <c r="B493" s="1" t="s">
        <v>14</v>
      </c>
      <c r="C493" s="1" t="s">
        <v>60</v>
      </c>
      <c r="D493" s="0" t="n">
        <v>3859</v>
      </c>
      <c r="E493" s="1" t="s">
        <v>117</v>
      </c>
      <c r="F493" s="0" t="n">
        <f aca="false">SUMIFS(출고!$F$2:$F$1167,출고!$B$2:$B$1167,B493,출고!$C$2:$C$1167,C493)/SUMIFS(출고!$D$2:$D$1167,출고!$B$2:$B$1167,B493,출고!$C$2:$C$1167,C493)</f>
        <v>12566.7032287965</v>
      </c>
      <c r="G493" s="0" t="n">
        <f aca="false">D493*F493</f>
        <v>48494907.7599258</v>
      </c>
      <c r="H493" s="0" t="n">
        <f aca="false">INDEX(마스터!$E:$E,MATCH(C493,마스터!$A:$A,0))</f>
        <v>6980</v>
      </c>
      <c r="I493" s="0" t="n">
        <f aca="false">IF(OR(E493="개정판교체",E493="파본"),0,D493*H493)</f>
        <v>26935820</v>
      </c>
    </row>
    <row r="494" customFormat="false" ht="15" hidden="false" customHeight="false" outlineLevel="0" collapsed="false">
      <c r="A494" s="0" t="s">
        <v>107</v>
      </c>
      <c r="B494" s="1" t="s">
        <v>14</v>
      </c>
      <c r="C494" s="1" t="s">
        <v>55</v>
      </c>
      <c r="D494" s="0" t="n">
        <v>2524</v>
      </c>
      <c r="E494" s="1" t="s">
        <v>116</v>
      </c>
      <c r="F494" s="0" t="n">
        <f aca="false">SUMIFS(출고!$F$2:$F$1167,출고!$B$2:$B$1167,B494,출고!$C$2:$C$1167,C494)/SUMIFS(출고!$D$2:$D$1167,출고!$B$2:$B$1167,B494,출고!$C$2:$C$1167,C494)</f>
        <v>11936.2885420632</v>
      </c>
      <c r="G494" s="0" t="n">
        <f aca="false">D494*F494</f>
        <v>30127192.2801675</v>
      </c>
      <c r="H494" s="0" t="n">
        <f aca="false">INDEX(마스터!$E:$E,MATCH(C494,마스터!$A:$A,0))</f>
        <v>6040</v>
      </c>
      <c r="I494" s="0" t="n">
        <f aca="false">IF(OR(E494="개정판교체",E494="파본"),0,D494*H494)</f>
        <v>15244960</v>
      </c>
    </row>
    <row r="495" customFormat="false" ht="15" hidden="false" customHeight="false" outlineLevel="0" collapsed="false">
      <c r="A495" s="0" t="s">
        <v>107</v>
      </c>
      <c r="B495" s="1" t="s">
        <v>14</v>
      </c>
      <c r="C495" s="1" t="s">
        <v>55</v>
      </c>
      <c r="D495" s="0" t="n">
        <v>1359</v>
      </c>
      <c r="E495" s="1" t="s">
        <v>118</v>
      </c>
      <c r="F495" s="0" t="n">
        <f aca="false">SUMIFS(출고!$F$2:$F$1167,출고!$B$2:$B$1167,B495,출고!$C$2:$C$1167,C495)/SUMIFS(출고!$D$2:$D$1167,출고!$B$2:$B$1167,B495,출고!$C$2:$C$1167,C495)</f>
        <v>11936.2885420632</v>
      </c>
      <c r="G495" s="0" t="n">
        <f aca="false">D495*F495</f>
        <v>16221416.1286639</v>
      </c>
      <c r="H495" s="0" t="n">
        <f aca="false">INDEX(마스터!$E:$E,MATCH(C495,마스터!$A:$A,0))</f>
        <v>6040</v>
      </c>
      <c r="I495" s="0" t="n">
        <f aca="false">IF(OR(E495="개정판교체",E495="파본"),0,D495*H495)</f>
        <v>0</v>
      </c>
    </row>
    <row r="496" customFormat="false" ht="15" hidden="false" customHeight="false" outlineLevel="0" collapsed="false">
      <c r="A496" s="0" t="s">
        <v>107</v>
      </c>
      <c r="B496" s="1" t="s">
        <v>15</v>
      </c>
      <c r="C496" s="1" t="s">
        <v>60</v>
      </c>
      <c r="D496" s="0" t="n">
        <v>2129</v>
      </c>
      <c r="E496" s="1" t="s">
        <v>120</v>
      </c>
      <c r="F496" s="0" t="n">
        <f aca="false">SUMIFS(출고!$F$2:$F$1167,출고!$B$2:$B$1167,B496,출고!$C$2:$C$1167,C496)/SUMIFS(출고!$D$2:$D$1167,출고!$B$2:$B$1167,B496,출고!$C$2:$C$1167,C496)</f>
        <v>12667.4119865884</v>
      </c>
      <c r="G496" s="0" t="n">
        <f aca="false">D496*F496</f>
        <v>26968920.1194468</v>
      </c>
      <c r="H496" s="0" t="n">
        <f aca="false">INDEX(마스터!$E:$E,MATCH(C496,마스터!$A:$A,0))</f>
        <v>6980</v>
      </c>
      <c r="I496" s="0" t="n">
        <f aca="false">IF(OR(E496="개정판교체",E496="파본"),0,D496*H496)</f>
        <v>0</v>
      </c>
    </row>
    <row r="497" customFormat="false" ht="15" hidden="false" customHeight="false" outlineLevel="0" collapsed="false">
      <c r="A497" s="0" t="s">
        <v>107</v>
      </c>
      <c r="B497" s="1" t="s">
        <v>15</v>
      </c>
      <c r="C497" s="1" t="s">
        <v>60</v>
      </c>
      <c r="D497" s="0" t="n">
        <v>1321</v>
      </c>
      <c r="E497" s="1" t="s">
        <v>116</v>
      </c>
      <c r="F497" s="0" t="n">
        <f aca="false">SUMIFS(출고!$F$2:$F$1167,출고!$B$2:$B$1167,B497,출고!$C$2:$C$1167,C497)/SUMIFS(출고!$D$2:$D$1167,출고!$B$2:$B$1167,B497,출고!$C$2:$C$1167,C497)</f>
        <v>12667.4119865884</v>
      </c>
      <c r="G497" s="0" t="n">
        <f aca="false">D497*F497</f>
        <v>16733651.2342833</v>
      </c>
      <c r="H497" s="0" t="n">
        <f aca="false">INDEX(마스터!$E:$E,MATCH(C497,마스터!$A:$A,0))</f>
        <v>6980</v>
      </c>
      <c r="I497" s="0" t="n">
        <f aca="false">IF(OR(E497="개정판교체",E497="파본"),0,D497*H497)</f>
        <v>9220580</v>
      </c>
    </row>
    <row r="498" customFormat="false" ht="15" hidden="false" customHeight="false" outlineLevel="0" collapsed="false">
      <c r="A498" s="0" t="s">
        <v>107</v>
      </c>
      <c r="B498" s="1" t="s">
        <v>15</v>
      </c>
      <c r="C498" s="1" t="s">
        <v>47</v>
      </c>
      <c r="D498" s="0" t="n">
        <v>1250</v>
      </c>
      <c r="E498" s="1" t="s">
        <v>117</v>
      </c>
      <c r="F498" s="0" t="n">
        <f aca="false">SUMIFS(출고!$F$2:$F$1167,출고!$B$2:$B$1167,B498,출고!$C$2:$C$1167,C498)/SUMIFS(출고!$D$2:$D$1167,출고!$B$2:$B$1167,B498,출고!$C$2:$C$1167,C498)</f>
        <v>8455.46315291147</v>
      </c>
      <c r="G498" s="0" t="n">
        <f aca="false">D498*F498</f>
        <v>10569328.9411393</v>
      </c>
      <c r="H498" s="0" t="n">
        <f aca="false">INDEX(마스터!$E:$E,MATCH(C498,마스터!$A:$A,0))</f>
        <v>4170</v>
      </c>
      <c r="I498" s="0" t="n">
        <f aca="false">IF(OR(E498="개정판교체",E498="파본"),0,D498*H498)</f>
        <v>5212500</v>
      </c>
    </row>
    <row r="499" customFormat="false" ht="15" hidden="false" customHeight="false" outlineLevel="0" collapsed="false">
      <c r="A499" s="0" t="s">
        <v>107</v>
      </c>
      <c r="B499" s="1" t="s">
        <v>16</v>
      </c>
      <c r="C499" s="1" t="s">
        <v>60</v>
      </c>
      <c r="D499" s="0" t="n">
        <v>1198</v>
      </c>
      <c r="E499" s="1" t="s">
        <v>120</v>
      </c>
      <c r="F499" s="0" t="n">
        <f aca="false">SUMIFS(출고!$F$2:$F$1167,출고!$B$2:$B$1167,B499,출고!$C$2:$C$1167,C499)/SUMIFS(출고!$D$2:$D$1167,출고!$B$2:$B$1167,B499,출고!$C$2:$C$1167,C499)</f>
        <v>13678.7338910242</v>
      </c>
      <c r="G499" s="0" t="n">
        <f aca="false">D499*F499</f>
        <v>16387123.201447</v>
      </c>
      <c r="H499" s="0" t="n">
        <f aca="false">INDEX(마스터!$E:$E,MATCH(C499,마스터!$A:$A,0))</f>
        <v>6980</v>
      </c>
      <c r="I499" s="0" t="n">
        <f aca="false">IF(OR(E499="개정판교체",E499="파본"),0,D499*H499)</f>
        <v>0</v>
      </c>
    </row>
    <row r="500" customFormat="false" ht="15" hidden="false" customHeight="false" outlineLevel="0" collapsed="false">
      <c r="A500" s="0" t="s">
        <v>107</v>
      </c>
      <c r="B500" s="1" t="s">
        <v>16</v>
      </c>
      <c r="C500" s="1" t="s">
        <v>60</v>
      </c>
      <c r="D500" s="0" t="n">
        <v>619</v>
      </c>
      <c r="E500" s="1" t="s">
        <v>117</v>
      </c>
      <c r="F500" s="0" t="n">
        <f aca="false">SUMIFS(출고!$F$2:$F$1167,출고!$B$2:$B$1167,B500,출고!$C$2:$C$1167,C500)/SUMIFS(출고!$D$2:$D$1167,출고!$B$2:$B$1167,B500,출고!$C$2:$C$1167,C500)</f>
        <v>13678.7338910242</v>
      </c>
      <c r="G500" s="0" t="n">
        <f aca="false">D500*F500</f>
        <v>8467136.27854398</v>
      </c>
      <c r="H500" s="0" t="n">
        <f aca="false">INDEX(마스터!$E:$E,MATCH(C500,마스터!$A:$A,0))</f>
        <v>6980</v>
      </c>
      <c r="I500" s="0" t="n">
        <f aca="false">IF(OR(E500="개정판교체",E500="파본"),0,D500*H500)</f>
        <v>4320620</v>
      </c>
    </row>
    <row r="501" customFormat="false" ht="15" hidden="false" customHeight="false" outlineLevel="0" collapsed="false">
      <c r="A501" s="0" t="s">
        <v>107</v>
      </c>
      <c r="B501" s="1" t="s">
        <v>16</v>
      </c>
      <c r="C501" s="1" t="s">
        <v>42</v>
      </c>
      <c r="D501" s="0" t="n">
        <v>427</v>
      </c>
      <c r="E501" s="1" t="s">
        <v>116</v>
      </c>
      <c r="F501" s="0" t="n">
        <f aca="false">SUMIFS(출고!$F$2:$F$1167,출고!$B$2:$B$1167,B501,출고!$C$2:$C$1167,C501)/SUMIFS(출고!$D$2:$D$1167,출고!$B$2:$B$1167,B501,출고!$C$2:$C$1167,C501)</f>
        <v>13389.3611793612</v>
      </c>
      <c r="G501" s="0" t="n">
        <f aca="false">D501*F501</f>
        <v>5717257.22358722</v>
      </c>
      <c r="H501" s="0" t="n">
        <f aca="false">INDEX(마스터!$E:$E,MATCH(C501,마스터!$A:$A,0))</f>
        <v>6730</v>
      </c>
      <c r="I501" s="0" t="n">
        <f aca="false">IF(OR(E501="개정판교체",E501="파본"),0,D501*H501)</f>
        <v>2873710</v>
      </c>
    </row>
    <row r="502" customFormat="false" ht="15" hidden="false" customHeight="false" outlineLevel="0" collapsed="false">
      <c r="A502" s="0" t="s">
        <v>107</v>
      </c>
      <c r="B502" s="1" t="s">
        <v>16</v>
      </c>
      <c r="C502" s="1" t="s">
        <v>42</v>
      </c>
      <c r="D502" s="0" t="n">
        <v>261</v>
      </c>
      <c r="E502" s="1" t="s">
        <v>118</v>
      </c>
      <c r="F502" s="0" t="n">
        <f aca="false">SUMIFS(출고!$F$2:$F$1167,출고!$B$2:$B$1167,B502,출고!$C$2:$C$1167,C502)/SUMIFS(출고!$D$2:$D$1167,출고!$B$2:$B$1167,B502,출고!$C$2:$C$1167,C502)</f>
        <v>13389.3611793612</v>
      </c>
      <c r="G502" s="0" t="n">
        <f aca="false">D502*F502</f>
        <v>3494623.26781327</v>
      </c>
      <c r="H502" s="0" t="n">
        <f aca="false">INDEX(마스터!$E:$E,MATCH(C502,마스터!$A:$A,0))</f>
        <v>6730</v>
      </c>
      <c r="I502" s="0" t="n">
        <f aca="false">IF(OR(E502="개정판교체",E502="파본"),0,D502*H502)</f>
        <v>0</v>
      </c>
    </row>
    <row r="503" customFormat="false" ht="15" hidden="false" customHeight="false" outlineLevel="0" collapsed="false">
      <c r="A503" s="0" t="s">
        <v>107</v>
      </c>
      <c r="B503" s="1" t="s">
        <v>17</v>
      </c>
      <c r="C503" s="1" t="s">
        <v>60</v>
      </c>
      <c r="D503" s="0" t="n">
        <v>1637</v>
      </c>
      <c r="E503" s="1" t="s">
        <v>120</v>
      </c>
      <c r="F503" s="0" t="n">
        <f aca="false">SUMIFS(출고!$F$2:$F$1167,출고!$B$2:$B$1167,B503,출고!$C$2:$C$1167,C503)/SUMIFS(출고!$D$2:$D$1167,출고!$B$2:$B$1167,B503,출고!$C$2:$C$1167,C503)</f>
        <v>12571.1757538836</v>
      </c>
      <c r="G503" s="0" t="n">
        <f aca="false">D503*F503</f>
        <v>20579014.7091075</v>
      </c>
      <c r="H503" s="0" t="n">
        <f aca="false">INDEX(마스터!$E:$E,MATCH(C503,마스터!$A:$A,0))</f>
        <v>6980</v>
      </c>
      <c r="I503" s="0" t="n">
        <f aca="false">IF(OR(E503="개정판교체",E503="파본"),0,D503*H503)</f>
        <v>0</v>
      </c>
    </row>
    <row r="504" customFormat="false" ht="15" hidden="false" customHeight="false" outlineLevel="0" collapsed="false">
      <c r="A504" s="0" t="s">
        <v>107</v>
      </c>
      <c r="B504" s="1" t="s">
        <v>17</v>
      </c>
      <c r="C504" s="1" t="s">
        <v>68</v>
      </c>
      <c r="D504" s="0" t="n">
        <v>1388</v>
      </c>
      <c r="E504" s="1" t="s">
        <v>117</v>
      </c>
      <c r="F504" s="0" t="n">
        <f aca="false">SUMIFS(출고!$F$2:$F$1167,출고!$B$2:$B$1167,B504,출고!$C$2:$C$1167,C504)/SUMIFS(출고!$D$2:$D$1167,출고!$B$2:$B$1167,B504,출고!$C$2:$C$1167,C504)</f>
        <v>9669.97838616715</v>
      </c>
      <c r="G504" s="0" t="n">
        <f aca="false">D504*F504</f>
        <v>13421930</v>
      </c>
      <c r="H504" s="0" t="n">
        <f aca="false">INDEX(마스터!$E:$E,MATCH(C504,마스터!$A:$A,0))</f>
        <v>4880</v>
      </c>
      <c r="I504" s="0" t="n">
        <f aca="false">IF(OR(E504="개정판교체",E504="파본"),0,D504*H504)</f>
        <v>6773440</v>
      </c>
    </row>
    <row r="505" customFormat="false" ht="15" hidden="false" customHeight="false" outlineLevel="0" collapsed="false">
      <c r="A505" s="0" t="s">
        <v>107</v>
      </c>
      <c r="B505" s="1" t="s">
        <v>18</v>
      </c>
      <c r="C505" s="1" t="s">
        <v>72</v>
      </c>
      <c r="D505" s="0" t="n">
        <v>771</v>
      </c>
      <c r="E505" s="1" t="s">
        <v>116</v>
      </c>
      <c r="F505" s="0" t="n">
        <f aca="false">SUMIFS(출고!$F$2:$F$1167,출고!$B$2:$B$1167,B505,출고!$C$2:$C$1167,C505)/SUMIFS(출고!$D$2:$D$1167,출고!$B$2:$B$1167,B505,출고!$C$2:$C$1167,C505)</f>
        <v>12314.9649805447</v>
      </c>
      <c r="G505" s="0" t="n">
        <f aca="false">D505*F505</f>
        <v>9494838</v>
      </c>
      <c r="H505" s="0" t="n">
        <f aca="false">INDEX(마스터!$E:$E,MATCH(C505,마스터!$A:$A,0))</f>
        <v>5920</v>
      </c>
      <c r="I505" s="0" t="n">
        <f aca="false">IF(OR(E505="개정판교체",E505="파본"),0,D505*H505)</f>
        <v>4564320</v>
      </c>
    </row>
    <row r="506" customFormat="false" ht="15" hidden="false" customHeight="false" outlineLevel="0" collapsed="false">
      <c r="A506" s="0" t="s">
        <v>107</v>
      </c>
      <c r="B506" s="1" t="s">
        <v>19</v>
      </c>
      <c r="C506" s="1" t="s">
        <v>59</v>
      </c>
      <c r="D506" s="0" t="n">
        <v>1153</v>
      </c>
      <c r="E506" s="1" t="s">
        <v>116</v>
      </c>
      <c r="F506" s="0" t="n">
        <f aca="false">SUMIFS(출고!$F$2:$F$1167,출고!$B$2:$B$1167,B506,출고!$C$2:$C$1167,C506)/SUMIFS(출고!$D$2:$D$1167,출고!$B$2:$B$1167,B506,출고!$C$2:$C$1167,C506)</f>
        <v>12957.4602613917</v>
      </c>
      <c r="G506" s="0" t="n">
        <f aca="false">D506*F506</f>
        <v>14939951.6813847</v>
      </c>
      <c r="H506" s="0" t="n">
        <f aca="false">INDEX(마스터!$E:$E,MATCH(C506,마스터!$A:$A,0))</f>
        <v>6520</v>
      </c>
      <c r="I506" s="0" t="n">
        <f aca="false">IF(OR(E506="개정판교체",E506="파본"),0,D506*H506)</f>
        <v>7517560</v>
      </c>
    </row>
    <row r="507" customFormat="false" ht="15" hidden="false" customHeight="false" outlineLevel="0" collapsed="false">
      <c r="A507" s="0" t="s">
        <v>107</v>
      </c>
      <c r="B507" s="1" t="s">
        <v>19</v>
      </c>
      <c r="C507" s="1" t="s">
        <v>60</v>
      </c>
      <c r="D507" s="0" t="n">
        <v>878</v>
      </c>
      <c r="E507" s="1" t="s">
        <v>120</v>
      </c>
      <c r="F507" s="0" t="n">
        <f aca="false">SUMIFS(출고!$F$2:$F$1167,출고!$B$2:$B$1167,B507,출고!$C$2:$C$1167,C507)/SUMIFS(출고!$D$2:$D$1167,출고!$B$2:$B$1167,B507,출고!$C$2:$C$1167,C507)</f>
        <v>12638.858151854</v>
      </c>
      <c r="G507" s="0" t="n">
        <f aca="false">D507*F507</f>
        <v>11096917.4573278</v>
      </c>
      <c r="H507" s="0" t="n">
        <f aca="false">INDEX(마스터!$E:$E,MATCH(C507,마스터!$A:$A,0))</f>
        <v>6980</v>
      </c>
      <c r="I507" s="0" t="n">
        <f aca="false">IF(OR(E507="개정판교체",E507="파본"),0,D507*H507)</f>
        <v>0</v>
      </c>
    </row>
    <row r="508" customFormat="false" ht="15" hidden="false" customHeight="false" outlineLevel="0" collapsed="false">
      <c r="A508" s="0" t="s">
        <v>107</v>
      </c>
      <c r="B508" s="1" t="s">
        <v>20</v>
      </c>
      <c r="C508" s="1" t="s">
        <v>68</v>
      </c>
      <c r="D508" s="0" t="n">
        <v>497</v>
      </c>
      <c r="E508" s="1" t="s">
        <v>116</v>
      </c>
      <c r="F508" s="0" t="n">
        <f aca="false">SUMIFS(출고!$F$2:$F$1167,출고!$B$2:$B$1167,B508,출고!$C$2:$C$1167,C508)/SUMIFS(출고!$D$2:$D$1167,출고!$B$2:$B$1167,B508,출고!$C$2:$C$1167,C508)</f>
        <v>10601.9769119769</v>
      </c>
      <c r="G508" s="0" t="n">
        <f aca="false">D508*F508</f>
        <v>5269182.52525253</v>
      </c>
      <c r="H508" s="0" t="n">
        <f aca="false">INDEX(마스터!$E:$E,MATCH(C508,마스터!$A:$A,0))</f>
        <v>4880</v>
      </c>
      <c r="I508" s="0" t="n">
        <f aca="false">IF(OR(E508="개정판교체",E508="파본"),0,D508*H508)</f>
        <v>2425360</v>
      </c>
    </row>
    <row r="509" customFormat="false" ht="15" hidden="false" customHeight="false" outlineLevel="0" collapsed="false">
      <c r="A509" s="0" t="s">
        <v>107</v>
      </c>
      <c r="B509" s="1" t="s">
        <v>21</v>
      </c>
      <c r="C509" s="1" t="s">
        <v>72</v>
      </c>
      <c r="D509" s="0" t="n">
        <v>1160</v>
      </c>
      <c r="E509" s="1" t="s">
        <v>116</v>
      </c>
      <c r="F509" s="0" t="n">
        <f aca="false">SUMIFS(출고!$F$2:$F$1167,출고!$B$2:$B$1167,B509,출고!$C$2:$C$1167,C509)/SUMIFS(출고!$D$2:$D$1167,출고!$B$2:$B$1167,B509,출고!$C$2:$C$1167,C509)</f>
        <v>12263.2052376886</v>
      </c>
      <c r="G509" s="0" t="n">
        <f aca="false">D509*F509</f>
        <v>14225318.0757188</v>
      </c>
      <c r="H509" s="0" t="n">
        <f aca="false">INDEX(마스터!$E:$E,MATCH(C509,마스터!$A:$A,0))</f>
        <v>5920</v>
      </c>
      <c r="I509" s="0" t="n">
        <f aca="false">IF(OR(E509="개정판교체",E509="파본"),0,D509*H509)</f>
        <v>6867200</v>
      </c>
    </row>
    <row r="510" customFormat="false" ht="15" hidden="false" customHeight="false" outlineLevel="0" collapsed="false">
      <c r="A510" s="0" t="s">
        <v>107</v>
      </c>
      <c r="B510" s="1" t="s">
        <v>22</v>
      </c>
      <c r="C510" s="1" t="s">
        <v>65</v>
      </c>
      <c r="D510" s="0" t="n">
        <v>636</v>
      </c>
      <c r="E510" s="1" t="s">
        <v>116</v>
      </c>
      <c r="F510" s="0" t="n">
        <f aca="false">SUMIFS(출고!$F$2:$F$1167,출고!$B$2:$B$1167,B510,출고!$C$2:$C$1167,C510)/SUMIFS(출고!$D$2:$D$1167,출고!$B$2:$B$1167,B510,출고!$C$2:$C$1167,C510)</f>
        <v>14389.8381185095</v>
      </c>
      <c r="G510" s="0" t="n">
        <f aca="false">D510*F510</f>
        <v>9151937.04337202</v>
      </c>
      <c r="H510" s="0" t="n">
        <f aca="false">INDEX(마스터!$E:$E,MATCH(C510,마스터!$A:$A,0))</f>
        <v>6670</v>
      </c>
      <c r="I510" s="0" t="n">
        <f aca="false">IF(OR(E510="개정판교체",E510="파본"),0,D510*H510)</f>
        <v>4242120</v>
      </c>
    </row>
    <row r="511" customFormat="false" ht="15" hidden="false" customHeight="false" outlineLevel="0" collapsed="false">
      <c r="A511" s="0" t="s">
        <v>107</v>
      </c>
      <c r="B511" s="1" t="s">
        <v>22</v>
      </c>
      <c r="C511" s="1" t="s">
        <v>65</v>
      </c>
      <c r="D511" s="0" t="n">
        <v>314</v>
      </c>
      <c r="E511" s="1" t="s">
        <v>118</v>
      </c>
      <c r="F511" s="0" t="n">
        <f aca="false">SUMIFS(출고!$F$2:$F$1167,출고!$B$2:$B$1167,B511,출고!$C$2:$C$1167,C511)/SUMIFS(출고!$D$2:$D$1167,출고!$B$2:$B$1167,B511,출고!$C$2:$C$1167,C511)</f>
        <v>14389.8381185095</v>
      </c>
      <c r="G511" s="0" t="n">
        <f aca="false">D511*F511</f>
        <v>4518409.16921197</v>
      </c>
      <c r="H511" s="0" t="n">
        <f aca="false">INDEX(마스터!$E:$E,MATCH(C511,마스터!$A:$A,0))</f>
        <v>6670</v>
      </c>
      <c r="I511" s="0" t="n">
        <f aca="false">IF(OR(E511="개정판교체",E511="파본"),0,D511*H511)</f>
        <v>0</v>
      </c>
    </row>
    <row r="512" customFormat="false" ht="15" hidden="false" customHeight="false" outlineLevel="0" collapsed="false">
      <c r="A512" s="0" t="s">
        <v>107</v>
      </c>
      <c r="B512" s="1" t="s">
        <v>23</v>
      </c>
      <c r="C512" s="1" t="s">
        <v>59</v>
      </c>
      <c r="D512" s="0" t="n">
        <v>795</v>
      </c>
      <c r="E512" s="1" t="s">
        <v>116</v>
      </c>
      <c r="F512" s="0" t="n">
        <f aca="false">SUMIFS(출고!$F$2:$F$1167,출고!$B$2:$B$1167,B512,출고!$C$2:$C$1167,C512)/SUMIFS(출고!$D$2:$D$1167,출고!$B$2:$B$1167,B512,출고!$C$2:$C$1167,C512)</f>
        <v>13950.6813683913</v>
      </c>
      <c r="G512" s="0" t="n">
        <f aca="false">D512*F512</f>
        <v>11090791.6878711</v>
      </c>
      <c r="H512" s="0" t="n">
        <f aca="false">INDEX(마스터!$E:$E,MATCH(C512,마스터!$A:$A,0))</f>
        <v>6520</v>
      </c>
      <c r="I512" s="0" t="n">
        <f aca="false">IF(OR(E512="개정판교체",E512="파본"),0,D512*H512)</f>
        <v>5183400</v>
      </c>
    </row>
    <row r="513" customFormat="false" ht="15" hidden="false" customHeight="false" outlineLevel="0" collapsed="false">
      <c r="A513" s="0" t="s">
        <v>107</v>
      </c>
      <c r="B513" s="1" t="s">
        <v>25</v>
      </c>
      <c r="C513" s="1" t="s">
        <v>37</v>
      </c>
      <c r="D513" s="0" t="n">
        <v>694</v>
      </c>
      <c r="E513" s="1" t="s">
        <v>116</v>
      </c>
      <c r="F513" s="0" t="n">
        <f aca="false">SUMIFS(출고!$F$2:$F$1167,출고!$B$2:$B$1167,B513,출고!$C$2:$C$1167,C513)/SUMIFS(출고!$D$2:$D$1167,출고!$B$2:$B$1167,B513,출고!$C$2:$C$1167,C513)</f>
        <v>10496.6887661142</v>
      </c>
      <c r="G513" s="0" t="n">
        <f aca="false">D513*F513</f>
        <v>7284702.00368324</v>
      </c>
      <c r="H513" s="0" t="n">
        <f aca="false">INDEX(마스터!$E:$E,MATCH(C513,마스터!$A:$A,0))</f>
        <v>4900</v>
      </c>
      <c r="I513" s="0" t="n">
        <f aca="false">IF(OR(E513="개정판교체",E513="파본"),0,D513*H513)</f>
        <v>3400600</v>
      </c>
    </row>
    <row r="514" customFormat="false" ht="15" hidden="false" customHeight="false" outlineLevel="0" collapsed="false">
      <c r="A514" s="0" t="s">
        <v>107</v>
      </c>
      <c r="B514" s="1" t="s">
        <v>24</v>
      </c>
      <c r="C514" s="1" t="s">
        <v>59</v>
      </c>
      <c r="D514" s="0" t="n">
        <v>830</v>
      </c>
      <c r="E514" s="1" t="s">
        <v>117</v>
      </c>
      <c r="F514" s="0" t="n">
        <f aca="false">SUMIFS(출고!$F$2:$F$1167,출고!$B$2:$B$1167,B514,출고!$C$2:$C$1167,C514)/SUMIFS(출고!$D$2:$D$1167,출고!$B$2:$B$1167,B514,출고!$C$2:$C$1167,C514)</f>
        <v>14021.1489173663</v>
      </c>
      <c r="G514" s="0" t="n">
        <f aca="false">D514*F514</f>
        <v>11637553.6014141</v>
      </c>
      <c r="H514" s="0" t="n">
        <f aca="false">INDEX(마스터!$E:$E,MATCH(C514,마스터!$A:$A,0))</f>
        <v>6520</v>
      </c>
      <c r="I514" s="0" t="n">
        <f aca="false">IF(OR(E514="개정판교체",E514="파본"),0,D514*H514)</f>
        <v>5411600</v>
      </c>
    </row>
    <row r="515" customFormat="false" ht="15" hidden="false" customHeight="false" outlineLevel="0" collapsed="false">
      <c r="A515" s="0" t="s">
        <v>109</v>
      </c>
      <c r="B515" s="1" t="s">
        <v>14</v>
      </c>
      <c r="C515" s="1" t="s">
        <v>45</v>
      </c>
      <c r="D515" s="0" t="n">
        <v>4161</v>
      </c>
      <c r="E515" s="1" t="s">
        <v>116</v>
      </c>
      <c r="F515" s="0" t="n">
        <f aca="false">SUMIFS(출고!$F$2:$F$1167,출고!$B$2:$B$1167,B515,출고!$C$2:$C$1167,C515)/SUMIFS(출고!$D$2:$D$1167,출고!$B$2:$B$1167,B515,출고!$C$2:$C$1167,C515)</f>
        <v>11925.6097560976</v>
      </c>
      <c r="G515" s="0" t="n">
        <f aca="false">D515*F515</f>
        <v>49622462.195122</v>
      </c>
      <c r="H515" s="0" t="n">
        <f aca="false">INDEX(마스터!$E:$E,MATCH(C515,마스터!$A:$A,0))</f>
        <v>6110</v>
      </c>
      <c r="I515" s="0" t="n">
        <f aca="false">IF(OR(E515="개정판교체",E515="파본"),0,D515*H515)</f>
        <v>25423710</v>
      </c>
    </row>
    <row r="516" customFormat="false" ht="15" hidden="false" customHeight="false" outlineLevel="0" collapsed="false">
      <c r="A516" s="0" t="s">
        <v>109</v>
      </c>
      <c r="B516" s="1" t="s">
        <v>14</v>
      </c>
      <c r="C516" s="1" t="s">
        <v>41</v>
      </c>
      <c r="D516" s="0" t="n">
        <v>3194</v>
      </c>
      <c r="E516" s="1" t="s">
        <v>116</v>
      </c>
      <c r="F516" s="0" t="n">
        <f aca="false">SUMIFS(출고!$F$2:$F$1167,출고!$B$2:$B$1167,B516,출고!$C$2:$C$1167,C516)/SUMIFS(출고!$D$2:$D$1167,출고!$B$2:$B$1167,B516,출고!$C$2:$C$1167,C516)</f>
        <v>10967.1647780925</v>
      </c>
      <c r="G516" s="0" t="n">
        <f aca="false">D516*F516</f>
        <v>35029124.3012276</v>
      </c>
      <c r="H516" s="0" t="n">
        <f aca="false">INDEX(마스터!$E:$E,MATCH(C516,마스터!$A:$A,0))</f>
        <v>5480</v>
      </c>
      <c r="I516" s="0" t="n">
        <f aca="false">IF(OR(E516="개정판교체",E516="파본"),0,D516*H516)</f>
        <v>17503120</v>
      </c>
    </row>
    <row r="517" customFormat="false" ht="15" hidden="false" customHeight="false" outlineLevel="0" collapsed="false">
      <c r="A517" s="0" t="s">
        <v>109</v>
      </c>
      <c r="B517" s="1" t="s">
        <v>14</v>
      </c>
      <c r="C517" s="1" t="s">
        <v>60</v>
      </c>
      <c r="D517" s="0" t="n">
        <v>3353</v>
      </c>
      <c r="E517" s="1" t="s">
        <v>120</v>
      </c>
      <c r="F517" s="0" t="n">
        <f aca="false">SUMIFS(출고!$F$2:$F$1167,출고!$B$2:$B$1167,B517,출고!$C$2:$C$1167,C517)/SUMIFS(출고!$D$2:$D$1167,출고!$B$2:$B$1167,B517,출고!$C$2:$C$1167,C517)</f>
        <v>12566.7032287965</v>
      </c>
      <c r="G517" s="0" t="n">
        <f aca="false">D517*F517</f>
        <v>42136155.9261548</v>
      </c>
      <c r="H517" s="0" t="n">
        <f aca="false">INDEX(마스터!$E:$E,MATCH(C517,마스터!$A:$A,0))</f>
        <v>6980</v>
      </c>
      <c r="I517" s="0" t="n">
        <f aca="false">IF(OR(E517="개정판교체",E517="파본"),0,D517*H517)</f>
        <v>0</v>
      </c>
    </row>
    <row r="518" customFormat="false" ht="15" hidden="false" customHeight="false" outlineLevel="0" collapsed="false">
      <c r="A518" s="0" t="s">
        <v>109</v>
      </c>
      <c r="B518" s="1" t="s">
        <v>14</v>
      </c>
      <c r="C518" s="1" t="s">
        <v>60</v>
      </c>
      <c r="D518" s="0" t="n">
        <v>592</v>
      </c>
      <c r="E518" s="1" t="s">
        <v>116</v>
      </c>
      <c r="F518" s="0" t="n">
        <f aca="false">SUMIFS(출고!$F$2:$F$1167,출고!$B$2:$B$1167,B518,출고!$C$2:$C$1167,C518)/SUMIFS(출고!$D$2:$D$1167,출고!$B$2:$B$1167,B518,출고!$C$2:$C$1167,C518)</f>
        <v>12566.7032287965</v>
      </c>
      <c r="G518" s="0" t="n">
        <f aca="false">D518*F518</f>
        <v>7439488.31144755</v>
      </c>
      <c r="H518" s="0" t="n">
        <f aca="false">INDEX(마스터!$E:$E,MATCH(C518,마스터!$A:$A,0))</f>
        <v>6980</v>
      </c>
      <c r="I518" s="0" t="n">
        <f aca="false">IF(OR(E518="개정판교체",E518="파본"),0,D518*H518)</f>
        <v>4132160</v>
      </c>
    </row>
    <row r="519" customFormat="false" ht="15" hidden="false" customHeight="false" outlineLevel="0" collapsed="false">
      <c r="A519" s="0" t="s">
        <v>109</v>
      </c>
      <c r="B519" s="1" t="s">
        <v>14</v>
      </c>
      <c r="C519" s="1" t="s">
        <v>46</v>
      </c>
      <c r="D519" s="0" t="n">
        <v>2551</v>
      </c>
      <c r="E519" s="1" t="s">
        <v>117</v>
      </c>
      <c r="F519" s="0" t="n">
        <f aca="false">SUMIFS(출고!$F$2:$F$1167,출고!$B$2:$B$1167,B519,출고!$C$2:$C$1167,C519)/SUMIFS(출고!$D$2:$D$1167,출고!$B$2:$B$1167,B519,출고!$C$2:$C$1167,C519)</f>
        <v>13222.0212401507</v>
      </c>
      <c r="G519" s="0" t="n">
        <f aca="false">D519*F519</f>
        <v>33729376.1836245</v>
      </c>
      <c r="H519" s="0" t="n">
        <f aca="false">INDEX(마스터!$E:$E,MATCH(C519,마스터!$A:$A,0))</f>
        <v>6910</v>
      </c>
      <c r="I519" s="0" t="n">
        <f aca="false">IF(OR(E519="개정판교체",E519="파본"),0,D519*H519)</f>
        <v>17627410</v>
      </c>
    </row>
    <row r="520" customFormat="false" ht="15" hidden="false" customHeight="false" outlineLevel="0" collapsed="false">
      <c r="A520" s="0" t="s">
        <v>109</v>
      </c>
      <c r="B520" s="1" t="s">
        <v>14</v>
      </c>
      <c r="C520" s="1" t="s">
        <v>48</v>
      </c>
      <c r="D520" s="0" t="n">
        <v>1723</v>
      </c>
      <c r="E520" s="1" t="s">
        <v>117</v>
      </c>
      <c r="F520" s="0" t="n">
        <f aca="false">SUMIFS(출고!$F$2:$F$1167,출고!$B$2:$B$1167,B520,출고!$C$2:$C$1167,C520)/SUMIFS(출고!$D$2:$D$1167,출고!$B$2:$B$1167,B520,출고!$C$2:$C$1167,C520)</f>
        <v>11921.7601459188</v>
      </c>
      <c r="G520" s="0" t="n">
        <f aca="false">D520*F520</f>
        <v>20541192.7314181</v>
      </c>
      <c r="H520" s="0" t="n">
        <f aca="false">INDEX(마스터!$E:$E,MATCH(C520,마스터!$A:$A,0))</f>
        <v>6440</v>
      </c>
      <c r="I520" s="0" t="n">
        <f aca="false">IF(OR(E520="개정판교체",E520="파본"),0,D520*H520)</f>
        <v>11096120</v>
      </c>
    </row>
    <row r="521" customFormat="false" ht="15" hidden="false" customHeight="false" outlineLevel="0" collapsed="false">
      <c r="A521" s="0" t="s">
        <v>109</v>
      </c>
      <c r="B521" s="1" t="s">
        <v>14</v>
      </c>
      <c r="C521" s="1" t="s">
        <v>48</v>
      </c>
      <c r="D521" s="0" t="n">
        <v>1468</v>
      </c>
      <c r="E521" s="1" t="s">
        <v>118</v>
      </c>
      <c r="F521" s="0" t="n">
        <f aca="false">SUMIFS(출고!$F$2:$F$1167,출고!$B$2:$B$1167,B521,출고!$C$2:$C$1167,C521)/SUMIFS(출고!$D$2:$D$1167,출고!$B$2:$B$1167,B521,출고!$C$2:$C$1167,C521)</f>
        <v>11921.7601459188</v>
      </c>
      <c r="G521" s="0" t="n">
        <f aca="false">D521*F521</f>
        <v>17501143.8942088</v>
      </c>
      <c r="H521" s="0" t="n">
        <f aca="false">INDEX(마스터!$E:$E,MATCH(C521,마스터!$A:$A,0))</f>
        <v>6440</v>
      </c>
      <c r="I521" s="0" t="n">
        <f aca="false">IF(OR(E521="개정판교체",E521="파본"),0,D521*H521)</f>
        <v>0</v>
      </c>
    </row>
    <row r="522" customFormat="false" ht="15" hidden="false" customHeight="false" outlineLevel="0" collapsed="false">
      <c r="A522" s="0" t="s">
        <v>109</v>
      </c>
      <c r="B522" s="1" t="s">
        <v>15</v>
      </c>
      <c r="C522" s="1" t="s">
        <v>45</v>
      </c>
      <c r="D522" s="0" t="n">
        <v>1064</v>
      </c>
      <c r="E522" s="1" t="s">
        <v>116</v>
      </c>
      <c r="F522" s="0" t="n">
        <f aca="false">SUMIFS(출고!$F$2:$F$1167,출고!$B$2:$B$1167,B522,출고!$C$2:$C$1167,C522)/SUMIFS(출고!$D$2:$D$1167,출고!$B$2:$B$1167,B522,출고!$C$2:$C$1167,C522)</f>
        <v>12027.8522622345</v>
      </c>
      <c r="G522" s="0" t="n">
        <f aca="false">D522*F522</f>
        <v>12797634.8070175</v>
      </c>
      <c r="H522" s="0" t="n">
        <f aca="false">INDEX(마스터!$E:$E,MATCH(C522,마스터!$A:$A,0))</f>
        <v>6110</v>
      </c>
      <c r="I522" s="0" t="n">
        <f aca="false">IF(OR(E522="개정판교체",E522="파본"),0,D522*H522)</f>
        <v>6501040</v>
      </c>
    </row>
    <row r="523" customFormat="false" ht="15" hidden="false" customHeight="false" outlineLevel="0" collapsed="false">
      <c r="A523" s="0" t="s">
        <v>109</v>
      </c>
      <c r="B523" s="1" t="s">
        <v>15</v>
      </c>
      <c r="C523" s="1" t="s">
        <v>38</v>
      </c>
      <c r="D523" s="0" t="n">
        <v>1055</v>
      </c>
      <c r="E523" s="1" t="s">
        <v>117</v>
      </c>
      <c r="F523" s="0" t="n">
        <f aca="false">SUMIFS(출고!$F$2:$F$1167,출고!$B$2:$B$1167,B523,출고!$C$2:$C$1167,C523)/SUMIFS(출고!$D$2:$D$1167,출고!$B$2:$B$1167,B523,출고!$C$2:$C$1167,C523)</f>
        <v>11377.4589032501</v>
      </c>
      <c r="G523" s="0" t="n">
        <f aca="false">D523*F523</f>
        <v>12003219.1429288</v>
      </c>
      <c r="H523" s="0" t="n">
        <f aca="false">INDEX(마스터!$E:$E,MATCH(C523,마스터!$A:$A,0))</f>
        <v>5670</v>
      </c>
      <c r="I523" s="0" t="n">
        <f aca="false">IF(OR(E523="개정판교체",E523="파본"),0,D523*H523)</f>
        <v>5981850</v>
      </c>
    </row>
    <row r="524" customFormat="false" ht="15" hidden="false" customHeight="false" outlineLevel="0" collapsed="false">
      <c r="A524" s="0" t="s">
        <v>109</v>
      </c>
      <c r="B524" s="1" t="s">
        <v>15</v>
      </c>
      <c r="C524" s="1" t="s">
        <v>60</v>
      </c>
      <c r="D524" s="0" t="n">
        <v>1863</v>
      </c>
      <c r="E524" s="1" t="s">
        <v>120</v>
      </c>
      <c r="F524" s="0" t="n">
        <f aca="false">SUMIFS(출고!$F$2:$F$1167,출고!$B$2:$B$1167,B524,출고!$C$2:$C$1167,C524)/SUMIFS(출고!$D$2:$D$1167,출고!$B$2:$B$1167,B524,출고!$C$2:$C$1167,C524)</f>
        <v>12667.4119865884</v>
      </c>
      <c r="G524" s="0" t="n">
        <f aca="false">D524*F524</f>
        <v>23599388.5310143</v>
      </c>
      <c r="H524" s="0" t="n">
        <f aca="false">INDEX(마스터!$E:$E,MATCH(C524,마스터!$A:$A,0))</f>
        <v>6980</v>
      </c>
      <c r="I524" s="0" t="n">
        <f aca="false">IF(OR(E524="개정판교체",E524="파본"),0,D524*H524)</f>
        <v>0</v>
      </c>
    </row>
    <row r="525" customFormat="false" ht="15" hidden="false" customHeight="false" outlineLevel="0" collapsed="false">
      <c r="A525" s="0" t="s">
        <v>109</v>
      </c>
      <c r="B525" s="1" t="s">
        <v>15</v>
      </c>
      <c r="C525" s="1" t="s">
        <v>60</v>
      </c>
      <c r="D525" s="0" t="n">
        <v>329</v>
      </c>
      <c r="E525" s="1" t="s">
        <v>116</v>
      </c>
      <c r="F525" s="0" t="n">
        <f aca="false">SUMIFS(출고!$F$2:$F$1167,출고!$B$2:$B$1167,B525,출고!$C$2:$C$1167,C525)/SUMIFS(출고!$D$2:$D$1167,출고!$B$2:$B$1167,B525,출고!$C$2:$C$1167,C525)</f>
        <v>12667.4119865884</v>
      </c>
      <c r="G525" s="0" t="n">
        <f aca="false">D525*F525</f>
        <v>4167578.54358759</v>
      </c>
      <c r="H525" s="0" t="n">
        <f aca="false">INDEX(마스터!$E:$E,MATCH(C525,마스터!$A:$A,0))</f>
        <v>6980</v>
      </c>
      <c r="I525" s="0" t="n">
        <f aca="false">IF(OR(E525="개정판교체",E525="파본"),0,D525*H525)</f>
        <v>2296420</v>
      </c>
    </row>
    <row r="526" customFormat="false" ht="15" hidden="false" customHeight="false" outlineLevel="0" collapsed="false">
      <c r="A526" s="0" t="s">
        <v>109</v>
      </c>
      <c r="B526" s="1" t="s">
        <v>15</v>
      </c>
      <c r="C526" s="1" t="s">
        <v>42</v>
      </c>
      <c r="D526" s="0" t="n">
        <v>569</v>
      </c>
      <c r="E526" s="1" t="s">
        <v>117</v>
      </c>
      <c r="F526" s="0" t="n">
        <f aca="false">SUMIFS(출고!$F$2:$F$1167,출고!$B$2:$B$1167,B526,출고!$C$2:$C$1167,C526)/SUMIFS(출고!$D$2:$D$1167,출고!$B$2:$B$1167,B526,출고!$C$2:$C$1167,C526)</f>
        <v>12351.9933981295</v>
      </c>
      <c r="G526" s="0" t="n">
        <f aca="false">D526*F526</f>
        <v>7028284.24353567</v>
      </c>
      <c r="H526" s="0" t="n">
        <f aca="false">INDEX(마스터!$E:$E,MATCH(C526,마스터!$A:$A,0))</f>
        <v>6730</v>
      </c>
      <c r="I526" s="0" t="n">
        <f aca="false">IF(OR(E526="개정판교체",E526="파본"),0,D526*H526)</f>
        <v>3829370</v>
      </c>
    </row>
    <row r="527" customFormat="false" ht="15" hidden="false" customHeight="false" outlineLevel="0" collapsed="false">
      <c r="A527" s="0" t="s">
        <v>109</v>
      </c>
      <c r="B527" s="1" t="s">
        <v>15</v>
      </c>
      <c r="C527" s="1" t="s">
        <v>42</v>
      </c>
      <c r="D527" s="0" t="n">
        <v>348</v>
      </c>
      <c r="E527" s="1" t="s">
        <v>118</v>
      </c>
      <c r="F527" s="0" t="n">
        <f aca="false">SUMIFS(출고!$F$2:$F$1167,출고!$B$2:$B$1167,B527,출고!$C$2:$C$1167,C527)/SUMIFS(출고!$D$2:$D$1167,출고!$B$2:$B$1167,B527,출고!$C$2:$C$1167,C527)</f>
        <v>12351.9933981295</v>
      </c>
      <c r="G527" s="0" t="n">
        <f aca="false">D527*F527</f>
        <v>4298493.70254906</v>
      </c>
      <c r="H527" s="0" t="n">
        <f aca="false">INDEX(마스터!$E:$E,MATCH(C527,마스터!$A:$A,0))</f>
        <v>6730</v>
      </c>
      <c r="I527" s="0" t="n">
        <f aca="false">IF(OR(E527="개정판교체",E527="파본"),0,D527*H527)</f>
        <v>0</v>
      </c>
    </row>
    <row r="528" customFormat="false" ht="15" hidden="false" customHeight="false" outlineLevel="0" collapsed="false">
      <c r="A528" s="0" t="s">
        <v>109</v>
      </c>
      <c r="B528" s="1" t="s">
        <v>16</v>
      </c>
      <c r="C528" s="1" t="s">
        <v>60</v>
      </c>
      <c r="D528" s="0" t="n">
        <v>1048</v>
      </c>
      <c r="E528" s="1" t="s">
        <v>120</v>
      </c>
      <c r="F528" s="0" t="n">
        <f aca="false">SUMIFS(출고!$F$2:$F$1167,출고!$B$2:$B$1167,B528,출고!$C$2:$C$1167,C528)/SUMIFS(출고!$D$2:$D$1167,출고!$B$2:$B$1167,B528,출고!$C$2:$C$1167,C528)</f>
        <v>13678.7338910242</v>
      </c>
      <c r="G528" s="0" t="n">
        <f aca="false">D528*F528</f>
        <v>14335313.1177934</v>
      </c>
      <c r="H528" s="0" t="n">
        <f aca="false">INDEX(마스터!$E:$E,MATCH(C528,마스터!$A:$A,0))</f>
        <v>6980</v>
      </c>
      <c r="I528" s="0" t="n">
        <f aca="false">IF(OR(E528="개정판교체",E528="파본"),0,D528*H528)</f>
        <v>0</v>
      </c>
    </row>
    <row r="529" customFormat="false" ht="15" hidden="false" customHeight="false" outlineLevel="0" collapsed="false">
      <c r="A529" s="0" t="s">
        <v>109</v>
      </c>
      <c r="B529" s="1" t="s">
        <v>16</v>
      </c>
      <c r="C529" s="1" t="s">
        <v>68</v>
      </c>
      <c r="D529" s="0" t="n">
        <v>1176</v>
      </c>
      <c r="E529" s="1" t="s">
        <v>117</v>
      </c>
      <c r="F529" s="0" t="n">
        <f aca="false">SUMIFS(출고!$F$2:$F$1167,출고!$B$2:$B$1167,B529,출고!$C$2:$C$1167,C529)/SUMIFS(출고!$D$2:$D$1167,출고!$B$2:$B$1167,B529,출고!$C$2:$C$1167,C529)</f>
        <v>10624.7078003511</v>
      </c>
      <c r="G529" s="0" t="n">
        <f aca="false">D529*F529</f>
        <v>12494656.3732129</v>
      </c>
      <c r="H529" s="0" t="n">
        <f aca="false">INDEX(마스터!$E:$E,MATCH(C529,마스터!$A:$A,0))</f>
        <v>4880</v>
      </c>
      <c r="I529" s="0" t="n">
        <f aca="false">IF(OR(E529="개정판교체",E529="파본"),0,D529*H529)</f>
        <v>5738880</v>
      </c>
    </row>
    <row r="530" customFormat="false" ht="15" hidden="false" customHeight="false" outlineLevel="0" collapsed="false">
      <c r="A530" s="0" t="s">
        <v>109</v>
      </c>
      <c r="B530" s="1" t="s">
        <v>17</v>
      </c>
      <c r="C530" s="1" t="s">
        <v>60</v>
      </c>
      <c r="D530" s="0" t="n">
        <v>1432</v>
      </c>
      <c r="E530" s="1" t="s">
        <v>120</v>
      </c>
      <c r="F530" s="0" t="n">
        <f aca="false">SUMIFS(출고!$F$2:$F$1167,출고!$B$2:$B$1167,B530,출고!$C$2:$C$1167,C530)/SUMIFS(출고!$D$2:$D$1167,출고!$B$2:$B$1167,B530,출고!$C$2:$C$1167,C530)</f>
        <v>12571.1757538836</v>
      </c>
      <c r="G530" s="0" t="n">
        <f aca="false">D530*F530</f>
        <v>18001923.6795614</v>
      </c>
      <c r="H530" s="0" t="n">
        <f aca="false">INDEX(마스터!$E:$E,MATCH(C530,마스터!$A:$A,0))</f>
        <v>6980</v>
      </c>
      <c r="I530" s="0" t="n">
        <f aca="false">IF(OR(E530="개정판교체",E530="파본"),0,D530*H530)</f>
        <v>0</v>
      </c>
    </row>
    <row r="531" customFormat="false" ht="15" hidden="false" customHeight="false" outlineLevel="0" collapsed="false">
      <c r="A531" s="0" t="s">
        <v>109</v>
      </c>
      <c r="B531" s="1" t="s">
        <v>17</v>
      </c>
      <c r="C531" s="1" t="s">
        <v>48</v>
      </c>
      <c r="D531" s="0" t="n">
        <v>654</v>
      </c>
      <c r="E531" s="1" t="s">
        <v>116</v>
      </c>
      <c r="F531" s="0" t="n">
        <f aca="false">SUMIFS(출고!$F$2:$F$1167,출고!$B$2:$B$1167,B531,출고!$C$2:$C$1167,C531)/SUMIFS(출고!$D$2:$D$1167,출고!$B$2:$B$1167,B531,출고!$C$2:$C$1167,C531)</f>
        <v>11921.2602739726</v>
      </c>
      <c r="G531" s="0" t="n">
        <f aca="false">D531*F531</f>
        <v>7796504.21917808</v>
      </c>
      <c r="H531" s="0" t="n">
        <f aca="false">INDEX(마스터!$E:$E,MATCH(C531,마스터!$A:$A,0))</f>
        <v>6440</v>
      </c>
      <c r="I531" s="0" t="n">
        <f aca="false">IF(OR(E531="개정판교체",E531="파본"),0,D531*H531)</f>
        <v>4211760</v>
      </c>
    </row>
    <row r="532" customFormat="false" ht="15" hidden="false" customHeight="false" outlineLevel="0" collapsed="false">
      <c r="A532" s="0" t="s">
        <v>109</v>
      </c>
      <c r="B532" s="1" t="s">
        <v>17</v>
      </c>
      <c r="C532" s="1" t="s">
        <v>48</v>
      </c>
      <c r="D532" s="0" t="n">
        <v>557</v>
      </c>
      <c r="E532" s="1" t="s">
        <v>118</v>
      </c>
      <c r="F532" s="0" t="n">
        <f aca="false">SUMIFS(출고!$F$2:$F$1167,출고!$B$2:$B$1167,B532,출고!$C$2:$C$1167,C532)/SUMIFS(출고!$D$2:$D$1167,출고!$B$2:$B$1167,B532,출고!$C$2:$C$1167,C532)</f>
        <v>11921.2602739726</v>
      </c>
      <c r="G532" s="0" t="n">
        <f aca="false">D532*F532</f>
        <v>6640141.97260274</v>
      </c>
      <c r="H532" s="0" t="n">
        <f aca="false">INDEX(마스터!$E:$E,MATCH(C532,마스터!$A:$A,0))</f>
        <v>6440</v>
      </c>
      <c r="I532" s="0" t="n">
        <f aca="false">IF(OR(E532="개정판교체",E532="파본"),0,D532*H532)</f>
        <v>0</v>
      </c>
    </row>
    <row r="533" customFormat="false" ht="15" hidden="false" customHeight="false" outlineLevel="0" collapsed="false">
      <c r="A533" s="0" t="s">
        <v>109</v>
      </c>
      <c r="B533" s="1" t="s">
        <v>17</v>
      </c>
      <c r="C533" s="1" t="s">
        <v>55</v>
      </c>
      <c r="D533" s="0" t="n">
        <v>742</v>
      </c>
      <c r="E533" s="1" t="s">
        <v>116</v>
      </c>
      <c r="F533" s="0" t="n">
        <f aca="false">SUMIFS(출고!$F$2:$F$1167,출고!$B$2:$B$1167,B533,출고!$C$2:$C$1167,C533)/SUMIFS(출고!$D$2:$D$1167,출고!$B$2:$B$1167,B533,출고!$C$2:$C$1167,C533)</f>
        <v>11924.347826087</v>
      </c>
      <c r="G533" s="0" t="n">
        <f aca="false">D533*F533</f>
        <v>8847866.08695652</v>
      </c>
      <c r="H533" s="0" t="n">
        <f aca="false">INDEX(마스터!$E:$E,MATCH(C533,마스터!$A:$A,0))</f>
        <v>6040</v>
      </c>
      <c r="I533" s="0" t="n">
        <f aca="false">IF(OR(E533="개정판교체",E533="파본"),0,D533*H533)</f>
        <v>4481680</v>
      </c>
    </row>
    <row r="534" customFormat="false" ht="15" hidden="false" customHeight="false" outlineLevel="0" collapsed="false">
      <c r="A534" s="0" t="s">
        <v>109</v>
      </c>
      <c r="B534" s="1" t="s">
        <v>17</v>
      </c>
      <c r="C534" s="1" t="s">
        <v>55</v>
      </c>
      <c r="D534" s="0" t="n">
        <v>399</v>
      </c>
      <c r="E534" s="1" t="s">
        <v>118</v>
      </c>
      <c r="F534" s="0" t="n">
        <f aca="false">SUMIFS(출고!$F$2:$F$1167,출고!$B$2:$B$1167,B534,출고!$C$2:$C$1167,C534)/SUMIFS(출고!$D$2:$D$1167,출고!$B$2:$B$1167,B534,출고!$C$2:$C$1167,C534)</f>
        <v>11924.347826087</v>
      </c>
      <c r="G534" s="0" t="n">
        <f aca="false">D534*F534</f>
        <v>4757814.7826087</v>
      </c>
      <c r="H534" s="0" t="n">
        <f aca="false">INDEX(마스터!$E:$E,MATCH(C534,마스터!$A:$A,0))</f>
        <v>6040</v>
      </c>
      <c r="I534" s="0" t="n">
        <f aca="false">IF(OR(E534="개정판교체",E534="파본"),0,D534*H534)</f>
        <v>0</v>
      </c>
    </row>
    <row r="535" customFormat="false" ht="15" hidden="false" customHeight="false" outlineLevel="0" collapsed="false">
      <c r="A535" s="0" t="s">
        <v>109</v>
      </c>
      <c r="B535" s="1" t="s">
        <v>18</v>
      </c>
      <c r="C535" s="1" t="s">
        <v>36</v>
      </c>
      <c r="D535" s="0" t="n">
        <v>791</v>
      </c>
      <c r="E535" s="1" t="s">
        <v>116</v>
      </c>
      <c r="F535" s="0" t="n">
        <f aca="false">SUMIFS(출고!$F$2:$F$1167,출고!$B$2:$B$1167,B535,출고!$C$2:$C$1167,C535)/SUMIFS(출고!$D$2:$D$1167,출고!$B$2:$B$1167,B535,출고!$C$2:$C$1167,C535)</f>
        <v>10065.0169204738</v>
      </c>
      <c r="G535" s="0" t="n">
        <f aca="false">D535*F535</f>
        <v>7961428.38409476</v>
      </c>
      <c r="H535" s="0" t="n">
        <f aca="false">INDEX(마스터!$E:$E,MATCH(C535,마스터!$A:$A,0))</f>
        <v>4540</v>
      </c>
      <c r="I535" s="0" t="n">
        <f aca="false">IF(OR(E535="개정판교체",E535="파본"),0,D535*H535)</f>
        <v>3591140</v>
      </c>
    </row>
    <row r="536" customFormat="false" ht="15" hidden="false" customHeight="false" outlineLevel="0" collapsed="false">
      <c r="A536" s="0" t="s">
        <v>109</v>
      </c>
      <c r="B536" s="1" t="s">
        <v>19</v>
      </c>
      <c r="C536" s="1" t="s">
        <v>47</v>
      </c>
      <c r="D536" s="0" t="n">
        <v>1061</v>
      </c>
      <c r="E536" s="1" t="s">
        <v>117</v>
      </c>
      <c r="F536" s="0" t="n">
        <f aca="false">SUMIFS(출고!$F$2:$F$1167,출고!$B$2:$B$1167,B536,출고!$C$2:$C$1167,C536)/SUMIFS(출고!$D$2:$D$1167,출고!$B$2:$B$1167,B536,출고!$C$2:$C$1167,C536)</f>
        <v>8421.7108804306</v>
      </c>
      <c r="G536" s="0" t="n">
        <f aca="false">D536*F536</f>
        <v>8935435.24413687</v>
      </c>
      <c r="H536" s="0" t="n">
        <f aca="false">INDEX(마스터!$E:$E,MATCH(C536,마스터!$A:$A,0))</f>
        <v>4170</v>
      </c>
      <c r="I536" s="0" t="n">
        <f aca="false">IF(OR(E536="개정판교체",E536="파본"),0,D536*H536)</f>
        <v>4424370</v>
      </c>
    </row>
    <row r="537" customFormat="false" ht="15" hidden="false" customHeight="false" outlineLevel="0" collapsed="false">
      <c r="A537" s="0" t="s">
        <v>109</v>
      </c>
      <c r="B537" s="1" t="s">
        <v>20</v>
      </c>
      <c r="C537" s="1" t="s">
        <v>55</v>
      </c>
      <c r="D537" s="0" t="n">
        <v>553</v>
      </c>
      <c r="E537" s="1" t="s">
        <v>116</v>
      </c>
      <c r="F537" s="0" t="n">
        <f aca="false">SUMIFS(출고!$F$2:$F$1167,출고!$B$2:$B$1167,B537,출고!$C$2:$C$1167,C537)/SUMIFS(출고!$D$2:$D$1167,출고!$B$2:$B$1167,B537,출고!$C$2:$C$1167,C537)</f>
        <v>13083.9090511587</v>
      </c>
      <c r="G537" s="0" t="n">
        <f aca="false">D537*F537</f>
        <v>7235401.70529077</v>
      </c>
      <c r="H537" s="0" t="n">
        <f aca="false">INDEX(마스터!$E:$E,MATCH(C537,마스터!$A:$A,0))</f>
        <v>6040</v>
      </c>
      <c r="I537" s="0" t="n">
        <f aca="false">IF(OR(E537="개정판교체",E537="파본"),0,D537*H537)</f>
        <v>3340120</v>
      </c>
    </row>
    <row r="538" customFormat="false" ht="15" hidden="false" customHeight="false" outlineLevel="0" collapsed="false">
      <c r="A538" s="0" t="s">
        <v>109</v>
      </c>
      <c r="B538" s="1" t="s">
        <v>20</v>
      </c>
      <c r="C538" s="1" t="s">
        <v>55</v>
      </c>
      <c r="D538" s="0" t="n">
        <v>298</v>
      </c>
      <c r="E538" s="1" t="s">
        <v>118</v>
      </c>
      <c r="F538" s="0" t="n">
        <f aca="false">SUMIFS(출고!$F$2:$F$1167,출고!$B$2:$B$1167,B538,출고!$C$2:$C$1167,C538)/SUMIFS(출고!$D$2:$D$1167,출고!$B$2:$B$1167,B538,출고!$C$2:$C$1167,C538)</f>
        <v>13083.9090511587</v>
      </c>
      <c r="G538" s="0" t="n">
        <f aca="false">D538*F538</f>
        <v>3899004.8972453</v>
      </c>
      <c r="H538" s="0" t="n">
        <f aca="false">INDEX(마스터!$E:$E,MATCH(C538,마스터!$A:$A,0))</f>
        <v>6040</v>
      </c>
      <c r="I538" s="0" t="n">
        <f aca="false">IF(OR(E538="개정판교체",E538="파본"),0,D538*H538)</f>
        <v>0</v>
      </c>
    </row>
    <row r="539" customFormat="false" ht="15" hidden="false" customHeight="false" outlineLevel="0" collapsed="false">
      <c r="A539" s="0" t="s">
        <v>109</v>
      </c>
      <c r="B539" s="1" t="s">
        <v>21</v>
      </c>
      <c r="C539" s="1" t="s">
        <v>48</v>
      </c>
      <c r="D539" s="0" t="n">
        <v>684</v>
      </c>
      <c r="E539" s="1" t="s">
        <v>119</v>
      </c>
      <c r="F539" s="0" t="n">
        <f aca="false">SUMIFS(출고!$F$2:$F$1167,출고!$B$2:$B$1167,B539,출고!$C$2:$C$1167,C539)/SUMIFS(출고!$D$2:$D$1167,출고!$B$2:$B$1167,B539,출고!$C$2:$C$1167,C539)</f>
        <v>12961.5133779264</v>
      </c>
      <c r="G539" s="0" t="n">
        <f aca="false">D539*F539</f>
        <v>8865675.15050167</v>
      </c>
      <c r="H539" s="0" t="n">
        <f aca="false">INDEX(마스터!$E:$E,MATCH(C539,마스터!$A:$A,0))</f>
        <v>6440</v>
      </c>
      <c r="I539" s="0" t="n">
        <f aca="false">IF(OR(E539="개정판교체",E539="파본"),0,D539*H539)</f>
        <v>4404960</v>
      </c>
    </row>
    <row r="540" customFormat="false" ht="15" hidden="false" customHeight="false" outlineLevel="0" collapsed="false">
      <c r="A540" s="0" t="s">
        <v>109</v>
      </c>
      <c r="B540" s="1" t="s">
        <v>21</v>
      </c>
      <c r="C540" s="1" t="s">
        <v>48</v>
      </c>
      <c r="D540" s="0" t="n">
        <v>582</v>
      </c>
      <c r="E540" s="1" t="s">
        <v>118</v>
      </c>
      <c r="F540" s="0" t="n">
        <f aca="false">SUMIFS(출고!$F$2:$F$1167,출고!$B$2:$B$1167,B540,출고!$C$2:$C$1167,C540)/SUMIFS(출고!$D$2:$D$1167,출고!$B$2:$B$1167,B540,출고!$C$2:$C$1167,C540)</f>
        <v>12961.5133779264</v>
      </c>
      <c r="G540" s="0" t="n">
        <f aca="false">D540*F540</f>
        <v>7543600.78595318</v>
      </c>
      <c r="H540" s="0" t="n">
        <f aca="false">INDEX(마스터!$E:$E,MATCH(C540,마스터!$A:$A,0))</f>
        <v>6440</v>
      </c>
      <c r="I540" s="0" t="n">
        <f aca="false">IF(OR(E540="개정판교체",E540="파본"),0,D540*H540)</f>
        <v>0</v>
      </c>
    </row>
    <row r="541" customFormat="false" ht="15" hidden="false" customHeight="false" outlineLevel="0" collapsed="false">
      <c r="A541" s="0" t="s">
        <v>109</v>
      </c>
      <c r="B541" s="1" t="s">
        <v>22</v>
      </c>
      <c r="C541" s="1" t="s">
        <v>65</v>
      </c>
      <c r="D541" s="0" t="n">
        <v>357</v>
      </c>
      <c r="E541" s="1" t="s">
        <v>119</v>
      </c>
      <c r="F541" s="0" t="n">
        <f aca="false">SUMIFS(출고!$F$2:$F$1167,출고!$B$2:$B$1167,B541,출고!$C$2:$C$1167,C541)/SUMIFS(출고!$D$2:$D$1167,출고!$B$2:$B$1167,B541,출고!$C$2:$C$1167,C541)</f>
        <v>14389.8381185095</v>
      </c>
      <c r="G541" s="0" t="n">
        <f aca="false">D541*F541</f>
        <v>5137172.20830788</v>
      </c>
      <c r="H541" s="0" t="n">
        <f aca="false">INDEX(마스터!$E:$E,MATCH(C541,마스터!$A:$A,0))</f>
        <v>6670</v>
      </c>
      <c r="I541" s="0" t="n">
        <f aca="false">IF(OR(E541="개정판교체",E541="파본"),0,D541*H541)</f>
        <v>2381190</v>
      </c>
    </row>
    <row r="542" customFormat="false" ht="15" hidden="false" customHeight="false" outlineLevel="0" collapsed="false">
      <c r="A542" s="0" t="s">
        <v>109</v>
      </c>
      <c r="B542" s="1" t="s">
        <v>22</v>
      </c>
      <c r="C542" s="1" t="s">
        <v>65</v>
      </c>
      <c r="D542" s="0" t="n">
        <v>176</v>
      </c>
      <c r="E542" s="1" t="s">
        <v>118</v>
      </c>
      <c r="F542" s="0" t="n">
        <f aca="false">SUMIFS(출고!$F$2:$F$1167,출고!$B$2:$B$1167,B542,출고!$C$2:$C$1167,C542)/SUMIFS(출고!$D$2:$D$1167,출고!$B$2:$B$1167,B542,출고!$C$2:$C$1167,C542)</f>
        <v>14389.8381185095</v>
      </c>
      <c r="G542" s="0" t="n">
        <f aca="false">D542*F542</f>
        <v>2532611.50885767</v>
      </c>
      <c r="H542" s="0" t="n">
        <f aca="false">INDEX(마스터!$E:$E,MATCH(C542,마스터!$A:$A,0))</f>
        <v>6670</v>
      </c>
      <c r="I542" s="0" t="n">
        <f aca="false">IF(OR(E542="개정판교체",E542="파본"),0,D542*H542)</f>
        <v>0</v>
      </c>
    </row>
    <row r="543" customFormat="false" ht="15" hidden="false" customHeight="false" outlineLevel="0" collapsed="false">
      <c r="A543" s="0" t="s">
        <v>109</v>
      </c>
      <c r="B543" s="1" t="s">
        <v>23</v>
      </c>
      <c r="C543" s="1" t="s">
        <v>59</v>
      </c>
      <c r="D543" s="0" t="n">
        <v>725</v>
      </c>
      <c r="E543" s="1" t="s">
        <v>116</v>
      </c>
      <c r="F543" s="0" t="n">
        <f aca="false">SUMIFS(출고!$F$2:$F$1167,출고!$B$2:$B$1167,B543,출고!$C$2:$C$1167,C543)/SUMIFS(출고!$D$2:$D$1167,출고!$B$2:$B$1167,B543,출고!$C$2:$C$1167,C543)</f>
        <v>13950.6813683913</v>
      </c>
      <c r="G543" s="0" t="n">
        <f aca="false">D543*F543</f>
        <v>10114243.9920837</v>
      </c>
      <c r="H543" s="0" t="n">
        <f aca="false">INDEX(마스터!$E:$E,MATCH(C543,마스터!$A:$A,0))</f>
        <v>6520</v>
      </c>
      <c r="I543" s="0" t="n">
        <f aca="false">IF(OR(E543="개정판교체",E543="파본"),0,D543*H543)</f>
        <v>4727000</v>
      </c>
    </row>
    <row r="544" customFormat="false" ht="15" hidden="false" customHeight="false" outlineLevel="0" collapsed="false">
      <c r="A544" s="0" t="s">
        <v>109</v>
      </c>
      <c r="B544" s="1" t="s">
        <v>25</v>
      </c>
      <c r="C544" s="1" t="s">
        <v>37</v>
      </c>
      <c r="D544" s="0" t="n">
        <v>463</v>
      </c>
      <c r="E544" s="1" t="s">
        <v>116</v>
      </c>
      <c r="F544" s="0" t="n">
        <f aca="false">SUMIFS(출고!$F$2:$F$1167,출고!$B$2:$B$1167,B544,출고!$C$2:$C$1167,C544)/SUMIFS(출고!$D$2:$D$1167,출고!$B$2:$B$1167,B544,출고!$C$2:$C$1167,C544)</f>
        <v>10496.6887661142</v>
      </c>
      <c r="G544" s="0" t="n">
        <f aca="false">D544*F544</f>
        <v>4859966.89871087</v>
      </c>
      <c r="H544" s="0" t="n">
        <f aca="false">INDEX(마스터!$E:$E,MATCH(C544,마스터!$A:$A,0))</f>
        <v>4900</v>
      </c>
      <c r="I544" s="0" t="n">
        <f aca="false">IF(OR(E544="개정판교체",E544="파본"),0,D544*H544)</f>
        <v>2268700</v>
      </c>
    </row>
    <row r="545" customFormat="false" ht="15" hidden="false" customHeight="false" outlineLevel="0" collapsed="false">
      <c r="A545" s="0" t="s">
        <v>109</v>
      </c>
      <c r="B545" s="1" t="s">
        <v>24</v>
      </c>
      <c r="C545" s="1" t="s">
        <v>47</v>
      </c>
      <c r="D545" s="0" t="n">
        <v>618</v>
      </c>
      <c r="E545" s="1" t="s">
        <v>118</v>
      </c>
      <c r="F545" s="0" t="n">
        <f aca="false">SUMIFS(출고!$F$2:$F$1167,출고!$B$2:$B$1167,B545,출고!$C$2:$C$1167,C545)/SUMIFS(출고!$D$2:$D$1167,출고!$B$2:$B$1167,B545,출고!$C$2:$C$1167,C545)</f>
        <v>9119.17616126205</v>
      </c>
      <c r="G545" s="0" t="n">
        <f aca="false">D545*F545</f>
        <v>5635650.86765995</v>
      </c>
      <c r="H545" s="0" t="n">
        <f aca="false">INDEX(마스터!$E:$E,MATCH(C545,마스터!$A:$A,0))</f>
        <v>4170</v>
      </c>
      <c r="I545" s="0" t="n">
        <f aca="false">IF(OR(E545="개정판교체",E545="파본"),0,D545*H545)</f>
        <v>0</v>
      </c>
    </row>
    <row r="546" customFormat="false" ht="15" hidden="false" customHeight="false" outlineLevel="0" collapsed="false">
      <c r="A546" s="0" t="s">
        <v>110</v>
      </c>
      <c r="B546" s="1" t="s">
        <v>14</v>
      </c>
      <c r="C546" s="1" t="s">
        <v>45</v>
      </c>
      <c r="D546" s="0" t="n">
        <v>6773</v>
      </c>
      <c r="E546" s="1" t="s">
        <v>120</v>
      </c>
      <c r="F546" s="0" t="n">
        <f aca="false">SUMIFS(출고!$F$2:$F$1167,출고!$B$2:$B$1167,B546,출고!$C$2:$C$1167,C546)/SUMIFS(출고!$D$2:$D$1167,출고!$B$2:$B$1167,B546,출고!$C$2:$C$1167,C546)</f>
        <v>11925.6097560976</v>
      </c>
      <c r="G546" s="0" t="n">
        <f aca="false">D546*F546</f>
        <v>80772154.8780488</v>
      </c>
      <c r="H546" s="0" t="n">
        <f aca="false">INDEX(마스터!$E:$E,MATCH(C546,마스터!$A:$A,0))</f>
        <v>6110</v>
      </c>
      <c r="I546" s="0" t="n">
        <f aca="false">IF(OR(E546="개정판교체",E546="파본"),0,D546*H546)</f>
        <v>0</v>
      </c>
    </row>
    <row r="547" customFormat="false" ht="15" hidden="false" customHeight="false" outlineLevel="0" collapsed="false">
      <c r="A547" s="0" t="s">
        <v>110</v>
      </c>
      <c r="B547" s="1" t="s">
        <v>14</v>
      </c>
      <c r="C547" s="1" t="s">
        <v>45</v>
      </c>
      <c r="D547" s="0" t="n">
        <v>4349</v>
      </c>
      <c r="E547" s="1" t="s">
        <v>116</v>
      </c>
      <c r="F547" s="0" t="n">
        <f aca="false">SUMIFS(출고!$F$2:$F$1167,출고!$B$2:$B$1167,B547,출고!$C$2:$C$1167,C547)/SUMIFS(출고!$D$2:$D$1167,출고!$B$2:$B$1167,B547,출고!$C$2:$C$1167,C547)</f>
        <v>11925.6097560976</v>
      </c>
      <c r="G547" s="0" t="n">
        <f aca="false">D547*F547</f>
        <v>51864476.8292683</v>
      </c>
      <c r="H547" s="0" t="n">
        <f aca="false">INDEX(마스터!$E:$E,MATCH(C547,마스터!$A:$A,0))</f>
        <v>6110</v>
      </c>
      <c r="I547" s="0" t="n">
        <f aca="false">IF(OR(E547="개정판교체",E547="파본"),0,D547*H547)</f>
        <v>26572390</v>
      </c>
    </row>
    <row r="548" customFormat="false" ht="15" hidden="false" customHeight="false" outlineLevel="0" collapsed="false">
      <c r="A548" s="0" t="s">
        <v>110</v>
      </c>
      <c r="B548" s="1" t="s">
        <v>14</v>
      </c>
      <c r="C548" s="1" t="s">
        <v>60</v>
      </c>
      <c r="D548" s="0" t="n">
        <v>3032</v>
      </c>
      <c r="E548" s="1" t="s">
        <v>120</v>
      </c>
      <c r="F548" s="0" t="n">
        <f aca="false">SUMIFS(출고!$F$2:$F$1167,출고!$B$2:$B$1167,B548,출고!$C$2:$C$1167,C548)/SUMIFS(출고!$D$2:$D$1167,출고!$B$2:$B$1167,B548,출고!$C$2:$C$1167,C548)</f>
        <v>12566.7032287965</v>
      </c>
      <c r="G548" s="0" t="n">
        <f aca="false">D548*F548</f>
        <v>38102244.1897111</v>
      </c>
      <c r="H548" s="0" t="n">
        <f aca="false">INDEX(마스터!$E:$E,MATCH(C548,마스터!$A:$A,0))</f>
        <v>6980</v>
      </c>
      <c r="I548" s="0" t="n">
        <f aca="false">IF(OR(E548="개정판교체",E548="파본"),0,D548*H548)</f>
        <v>0</v>
      </c>
    </row>
    <row r="549" customFormat="false" ht="15" hidden="false" customHeight="false" outlineLevel="0" collapsed="false">
      <c r="A549" s="0" t="s">
        <v>110</v>
      </c>
      <c r="B549" s="1" t="s">
        <v>14</v>
      </c>
      <c r="C549" s="1" t="s">
        <v>60</v>
      </c>
      <c r="D549" s="0" t="n">
        <v>535</v>
      </c>
      <c r="E549" s="1" t="s">
        <v>116</v>
      </c>
      <c r="F549" s="0" t="n">
        <f aca="false">SUMIFS(출고!$F$2:$F$1167,출고!$B$2:$B$1167,B549,출고!$C$2:$C$1167,C549)/SUMIFS(출고!$D$2:$D$1167,출고!$B$2:$B$1167,B549,출고!$C$2:$C$1167,C549)</f>
        <v>12566.7032287965</v>
      </c>
      <c r="G549" s="0" t="n">
        <f aca="false">D549*F549</f>
        <v>6723186.22740615</v>
      </c>
      <c r="H549" s="0" t="n">
        <f aca="false">INDEX(마스터!$E:$E,MATCH(C549,마스터!$A:$A,0))</f>
        <v>6980</v>
      </c>
      <c r="I549" s="0" t="n">
        <f aca="false">IF(OR(E549="개정판교체",E549="파본"),0,D549*H549)</f>
        <v>3734300</v>
      </c>
    </row>
    <row r="550" customFormat="false" ht="15" hidden="false" customHeight="false" outlineLevel="0" collapsed="false">
      <c r="A550" s="0" t="s">
        <v>110</v>
      </c>
      <c r="B550" s="1" t="s">
        <v>14</v>
      </c>
      <c r="C550" s="1" t="s">
        <v>88</v>
      </c>
      <c r="D550" s="0" t="n">
        <v>3623</v>
      </c>
      <c r="E550" s="1" t="s">
        <v>116</v>
      </c>
      <c r="F550" s="0" t="n">
        <f aca="false">SUMIFS(출고!$F$2:$F$1167,출고!$B$2:$B$1167,B550,출고!$C$2:$C$1167,C550)/SUMIFS(출고!$D$2:$D$1167,출고!$B$2:$B$1167,B550,출고!$C$2:$C$1167,C550)</f>
        <v>10955.2649006623</v>
      </c>
      <c r="G550" s="0" t="n">
        <f aca="false">D550*F550</f>
        <v>39690924.7350993</v>
      </c>
      <c r="H550" s="0" t="n">
        <f aca="false">INDEX(마스터!$E:$E,MATCH(C550,마스터!$A:$A,0))</f>
        <v>5930</v>
      </c>
      <c r="I550" s="0" t="n">
        <f aca="false">IF(OR(E550="개정판교체",E550="파본"),0,D550*H550)</f>
        <v>21484390</v>
      </c>
    </row>
    <row r="551" customFormat="false" ht="15" hidden="false" customHeight="false" outlineLevel="0" collapsed="false">
      <c r="A551" s="0" t="s">
        <v>110</v>
      </c>
      <c r="B551" s="1" t="s">
        <v>14</v>
      </c>
      <c r="C551" s="1" t="s">
        <v>36</v>
      </c>
      <c r="D551" s="0" t="n">
        <v>2822</v>
      </c>
      <c r="E551" s="1" t="s">
        <v>116</v>
      </c>
      <c r="F551" s="0" t="n">
        <f aca="false">SUMIFS(출고!$F$2:$F$1167,출고!$B$2:$B$1167,B551,출고!$C$2:$C$1167,C551)/SUMIFS(출고!$D$2:$D$1167,출고!$B$2:$B$1167,B551,출고!$C$2:$C$1167,C551)</f>
        <v>9351.30961392884</v>
      </c>
      <c r="G551" s="0" t="n">
        <f aca="false">D551*F551</f>
        <v>26389395.7305072</v>
      </c>
      <c r="H551" s="0" t="n">
        <f aca="false">INDEX(마스터!$E:$E,MATCH(C551,마스터!$A:$A,0))</f>
        <v>4540</v>
      </c>
      <c r="I551" s="0" t="n">
        <f aca="false">IF(OR(E551="개정판교체",E551="파본"),0,D551*H551)</f>
        <v>12811880</v>
      </c>
    </row>
    <row r="552" customFormat="false" ht="15" hidden="false" customHeight="false" outlineLevel="0" collapsed="false">
      <c r="A552" s="0" t="s">
        <v>110</v>
      </c>
      <c r="B552" s="1" t="s">
        <v>14</v>
      </c>
      <c r="C552" s="1" t="s">
        <v>47</v>
      </c>
      <c r="D552" s="0" t="n">
        <v>3620</v>
      </c>
      <c r="E552" s="1" t="s">
        <v>116</v>
      </c>
      <c r="F552" s="0" t="n">
        <f aca="false">SUMIFS(출고!$F$2:$F$1167,출고!$B$2:$B$1167,B552,출고!$C$2:$C$1167,C552)/SUMIFS(출고!$D$2:$D$1167,출고!$B$2:$B$1167,B552,출고!$C$2:$C$1167,C552)</f>
        <v>8382.27260602828</v>
      </c>
      <c r="G552" s="0" t="n">
        <f aca="false">D552*F552</f>
        <v>30343826.8338224</v>
      </c>
      <c r="H552" s="0" t="n">
        <f aca="false">INDEX(마스터!$E:$E,MATCH(C552,마스터!$A:$A,0))</f>
        <v>4170</v>
      </c>
      <c r="I552" s="0" t="n">
        <f aca="false">IF(OR(E552="개정판교체",E552="파본"),0,D552*H552)</f>
        <v>15095400</v>
      </c>
    </row>
    <row r="553" customFormat="false" ht="15" hidden="false" customHeight="false" outlineLevel="0" collapsed="false">
      <c r="A553" s="0" t="s">
        <v>110</v>
      </c>
      <c r="B553" s="1" t="s">
        <v>15</v>
      </c>
      <c r="C553" s="1" t="s">
        <v>45</v>
      </c>
      <c r="D553" s="0" t="n">
        <v>3290</v>
      </c>
      <c r="E553" s="1" t="s">
        <v>120</v>
      </c>
      <c r="F553" s="0" t="n">
        <f aca="false">SUMIFS(출고!$F$2:$F$1167,출고!$B$2:$B$1167,B553,출고!$C$2:$C$1167,C553)/SUMIFS(출고!$D$2:$D$1167,출고!$B$2:$B$1167,B553,출고!$C$2:$C$1167,C553)</f>
        <v>12027.8522622345</v>
      </c>
      <c r="G553" s="0" t="n">
        <f aca="false">D553*F553</f>
        <v>39571633.9427516</v>
      </c>
      <c r="H553" s="0" t="n">
        <f aca="false">INDEX(마스터!$E:$E,MATCH(C553,마스터!$A:$A,0))</f>
        <v>6110</v>
      </c>
      <c r="I553" s="0" t="n">
        <f aca="false">IF(OR(E553="개정판교체",E553="파본"),0,D553*H553)</f>
        <v>0</v>
      </c>
    </row>
    <row r="554" customFormat="false" ht="15" hidden="false" customHeight="false" outlineLevel="0" collapsed="false">
      <c r="A554" s="0" t="s">
        <v>110</v>
      </c>
      <c r="B554" s="1" t="s">
        <v>15</v>
      </c>
      <c r="C554" s="1" t="s">
        <v>45</v>
      </c>
      <c r="D554" s="0" t="n">
        <v>581</v>
      </c>
      <c r="E554" s="1" t="s">
        <v>116</v>
      </c>
      <c r="F554" s="0" t="n">
        <f aca="false">SUMIFS(출고!$F$2:$F$1167,출고!$B$2:$B$1167,B554,출고!$C$2:$C$1167,C554)/SUMIFS(출고!$D$2:$D$1167,출고!$B$2:$B$1167,B554,출고!$C$2:$C$1167,C554)</f>
        <v>12027.8522622345</v>
      </c>
      <c r="G554" s="0" t="n">
        <f aca="false">D554*F554</f>
        <v>6988182.16435826</v>
      </c>
      <c r="H554" s="0" t="n">
        <f aca="false">INDEX(마스터!$E:$E,MATCH(C554,마스터!$A:$A,0))</f>
        <v>6110</v>
      </c>
      <c r="I554" s="0" t="n">
        <f aca="false">IF(OR(E554="개정판교체",E554="파본"),0,D554*H554)</f>
        <v>3549910</v>
      </c>
    </row>
    <row r="555" customFormat="false" ht="15" hidden="false" customHeight="false" outlineLevel="0" collapsed="false">
      <c r="A555" s="0" t="s">
        <v>110</v>
      </c>
      <c r="B555" s="1" t="s">
        <v>15</v>
      </c>
      <c r="C555" s="1" t="s">
        <v>60</v>
      </c>
      <c r="D555" s="0" t="n">
        <v>1566</v>
      </c>
      <c r="E555" s="1" t="s">
        <v>120</v>
      </c>
      <c r="F555" s="0" t="n">
        <f aca="false">SUMIFS(출고!$F$2:$F$1167,출고!$B$2:$B$1167,B555,출고!$C$2:$C$1167,C555)/SUMIFS(출고!$D$2:$D$1167,출고!$B$2:$B$1167,B555,출고!$C$2:$C$1167,C555)</f>
        <v>12667.4119865884</v>
      </c>
      <c r="G555" s="0" t="n">
        <f aca="false">D555*F555</f>
        <v>19837167.1709975</v>
      </c>
      <c r="H555" s="0" t="n">
        <f aca="false">INDEX(마스터!$E:$E,MATCH(C555,마스터!$A:$A,0))</f>
        <v>6980</v>
      </c>
      <c r="I555" s="0" t="n">
        <f aca="false">IF(OR(E555="개정판교체",E555="파본"),0,D555*H555)</f>
        <v>0</v>
      </c>
    </row>
    <row r="556" customFormat="false" ht="15" hidden="false" customHeight="false" outlineLevel="0" collapsed="false">
      <c r="A556" s="0" t="s">
        <v>110</v>
      </c>
      <c r="B556" s="1" t="s">
        <v>15</v>
      </c>
      <c r="C556" s="1" t="s">
        <v>71</v>
      </c>
      <c r="D556" s="0" t="n">
        <v>2260</v>
      </c>
      <c r="E556" s="1" t="s">
        <v>117</v>
      </c>
      <c r="F556" s="0" t="n">
        <f aca="false">SUMIFS(출고!$F$2:$F$1167,출고!$B$2:$B$1167,B556,출고!$C$2:$C$1167,C556)/SUMIFS(출고!$D$2:$D$1167,출고!$B$2:$B$1167,B556,출고!$C$2:$C$1167,C556)</f>
        <v>8448.11715481172</v>
      </c>
      <c r="G556" s="0" t="n">
        <f aca="false">D556*F556</f>
        <v>19092744.7698745</v>
      </c>
      <c r="H556" s="0" t="n">
        <f aca="false">INDEX(마스터!$E:$E,MATCH(C556,마스터!$A:$A,0))</f>
        <v>4330</v>
      </c>
      <c r="I556" s="0" t="n">
        <f aca="false">IF(OR(E556="개정판교체",E556="파본"),0,D556*H556)</f>
        <v>9785800</v>
      </c>
    </row>
    <row r="557" customFormat="false" ht="15" hidden="false" customHeight="false" outlineLevel="0" collapsed="false">
      <c r="A557" s="0" t="s">
        <v>110</v>
      </c>
      <c r="B557" s="1" t="s">
        <v>16</v>
      </c>
      <c r="C557" s="1" t="s">
        <v>45</v>
      </c>
      <c r="D557" s="0" t="n">
        <v>1927</v>
      </c>
      <c r="E557" s="1" t="s">
        <v>120</v>
      </c>
      <c r="F557" s="0" t="n">
        <f aca="false">SUMIFS(출고!$F$2:$F$1167,출고!$B$2:$B$1167,B557,출고!$C$2:$C$1167,C557)/SUMIFS(출고!$D$2:$D$1167,출고!$B$2:$B$1167,B557,출고!$C$2:$C$1167,C557)</f>
        <v>12973.2855813953</v>
      </c>
      <c r="G557" s="0" t="n">
        <f aca="false">D557*F557</f>
        <v>24999521.3153488</v>
      </c>
      <c r="H557" s="0" t="n">
        <f aca="false">INDEX(마스터!$E:$E,MATCH(C557,마스터!$A:$A,0))</f>
        <v>6110</v>
      </c>
      <c r="I557" s="0" t="n">
        <f aca="false">IF(OR(E557="개정판교체",E557="파본"),0,D557*H557)</f>
        <v>0</v>
      </c>
    </row>
    <row r="558" customFormat="false" ht="15" hidden="false" customHeight="false" outlineLevel="0" collapsed="false">
      <c r="A558" s="0" t="s">
        <v>110</v>
      </c>
      <c r="B558" s="1" t="s">
        <v>16</v>
      </c>
      <c r="C558" s="1" t="s">
        <v>45</v>
      </c>
      <c r="D558" s="0" t="n">
        <v>673</v>
      </c>
      <c r="E558" s="1" t="s">
        <v>116</v>
      </c>
      <c r="F558" s="0" t="n">
        <f aca="false">SUMIFS(출고!$F$2:$F$1167,출고!$B$2:$B$1167,B558,출고!$C$2:$C$1167,C558)/SUMIFS(출고!$D$2:$D$1167,출고!$B$2:$B$1167,B558,출고!$C$2:$C$1167,C558)</f>
        <v>12973.2855813953</v>
      </c>
      <c r="G558" s="0" t="n">
        <f aca="false">D558*F558</f>
        <v>8731021.19627907</v>
      </c>
      <c r="H558" s="0" t="n">
        <f aca="false">INDEX(마스터!$E:$E,MATCH(C558,마스터!$A:$A,0))</f>
        <v>6110</v>
      </c>
      <c r="I558" s="0" t="n">
        <f aca="false">IF(OR(E558="개정판교체",E558="파본"),0,D558*H558)</f>
        <v>4112030</v>
      </c>
    </row>
    <row r="559" customFormat="false" ht="15" hidden="false" customHeight="false" outlineLevel="0" collapsed="false">
      <c r="A559" s="0" t="s">
        <v>110</v>
      </c>
      <c r="B559" s="1" t="s">
        <v>16</v>
      </c>
      <c r="C559" s="1" t="s">
        <v>51</v>
      </c>
      <c r="D559" s="0" t="n">
        <v>395</v>
      </c>
      <c r="E559" s="1" t="s">
        <v>116</v>
      </c>
      <c r="F559" s="0" t="n">
        <f aca="false">SUMIFS(출고!$F$2:$F$1167,출고!$B$2:$B$1167,B559,출고!$C$2:$C$1167,C559)/SUMIFS(출고!$D$2:$D$1167,출고!$B$2:$B$1167,B559,출고!$C$2:$C$1167,C559)</f>
        <v>14452.2415795587</v>
      </c>
      <c r="G559" s="0" t="n">
        <f aca="false">D559*F559</f>
        <v>5708635.42392567</v>
      </c>
      <c r="H559" s="0" t="n">
        <f aca="false">INDEX(마스터!$E:$E,MATCH(C559,마스터!$A:$A,0))</f>
        <v>7480</v>
      </c>
      <c r="I559" s="0" t="n">
        <f aca="false">IF(OR(E559="개정판교체",E559="파본"),0,D559*H559)</f>
        <v>2954600</v>
      </c>
    </row>
    <row r="560" customFormat="false" ht="15" hidden="false" customHeight="false" outlineLevel="0" collapsed="false">
      <c r="A560" s="0" t="s">
        <v>110</v>
      </c>
      <c r="B560" s="1" t="s">
        <v>16</v>
      </c>
      <c r="C560" s="1" t="s">
        <v>51</v>
      </c>
      <c r="D560" s="0" t="n">
        <v>298</v>
      </c>
      <c r="E560" s="1" t="s">
        <v>118</v>
      </c>
      <c r="F560" s="0" t="n">
        <f aca="false">SUMIFS(출고!$F$2:$F$1167,출고!$B$2:$B$1167,B560,출고!$C$2:$C$1167,C560)/SUMIFS(출고!$D$2:$D$1167,출고!$B$2:$B$1167,B560,출고!$C$2:$C$1167,C560)</f>
        <v>14452.2415795587</v>
      </c>
      <c r="G560" s="0" t="n">
        <f aca="false">D560*F560</f>
        <v>4306767.99070848</v>
      </c>
      <c r="H560" s="0" t="n">
        <f aca="false">INDEX(마스터!$E:$E,MATCH(C560,마스터!$A:$A,0))</f>
        <v>7480</v>
      </c>
      <c r="I560" s="0" t="n">
        <f aca="false">IF(OR(E560="개정판교체",E560="파본"),0,D560*H560)</f>
        <v>0</v>
      </c>
    </row>
    <row r="561" customFormat="false" ht="15" hidden="false" customHeight="false" outlineLevel="0" collapsed="false">
      <c r="A561" s="0" t="s">
        <v>110</v>
      </c>
      <c r="B561" s="1" t="s">
        <v>16</v>
      </c>
      <c r="C561" s="1" t="s">
        <v>75</v>
      </c>
      <c r="D561" s="0" t="n">
        <v>660</v>
      </c>
      <c r="E561" s="1" t="s">
        <v>117</v>
      </c>
      <c r="F561" s="0" t="n">
        <f aca="false">SUMIFS(출고!$F$2:$F$1167,출고!$B$2:$B$1167,B561,출고!$C$2:$C$1167,C561)/SUMIFS(출고!$D$2:$D$1167,출고!$B$2:$B$1167,B561,출고!$C$2:$C$1167,C561)</f>
        <v>11847.2497187852</v>
      </c>
      <c r="G561" s="0" t="n">
        <f aca="false">D561*F561</f>
        <v>7819184.8143982</v>
      </c>
      <c r="H561" s="0" t="n">
        <f aca="false">INDEX(마스터!$E:$E,MATCH(C561,마스터!$A:$A,0))</f>
        <v>5440</v>
      </c>
      <c r="I561" s="0" t="n">
        <f aca="false">IF(OR(E561="개정판교체",E561="파본"),0,D561*H561)</f>
        <v>3590400</v>
      </c>
    </row>
    <row r="562" customFormat="false" ht="15" hidden="false" customHeight="false" outlineLevel="0" collapsed="false">
      <c r="A562" s="0" t="s">
        <v>110</v>
      </c>
      <c r="B562" s="1" t="s">
        <v>17</v>
      </c>
      <c r="C562" s="1" t="s">
        <v>45</v>
      </c>
      <c r="D562" s="0" t="n">
        <v>1927</v>
      </c>
      <c r="E562" s="1" t="s">
        <v>120</v>
      </c>
      <c r="F562" s="0" t="n">
        <f aca="false">SUMIFS(출고!$F$2:$F$1167,출고!$B$2:$B$1167,B562,출고!$C$2:$C$1167,C562)/SUMIFS(출고!$D$2:$D$1167,출고!$B$2:$B$1167,B562,출고!$C$2:$C$1167,C562)</f>
        <v>11926.6404935502</v>
      </c>
      <c r="G562" s="0" t="n">
        <f aca="false">D562*F562</f>
        <v>22982636.2310712</v>
      </c>
      <c r="H562" s="0" t="n">
        <f aca="false">INDEX(마스터!$E:$E,MATCH(C562,마스터!$A:$A,0))</f>
        <v>6110</v>
      </c>
      <c r="I562" s="0" t="n">
        <f aca="false">IF(OR(E562="개정판교체",E562="파본"),0,D562*H562)</f>
        <v>0</v>
      </c>
    </row>
    <row r="563" customFormat="false" ht="15" hidden="false" customHeight="false" outlineLevel="0" collapsed="false">
      <c r="A563" s="0" t="s">
        <v>110</v>
      </c>
      <c r="B563" s="1" t="s">
        <v>17</v>
      </c>
      <c r="C563" s="1" t="s">
        <v>45</v>
      </c>
      <c r="D563" s="0" t="n">
        <v>340</v>
      </c>
      <c r="E563" s="1" t="s">
        <v>116</v>
      </c>
      <c r="F563" s="0" t="n">
        <f aca="false">SUMIFS(출고!$F$2:$F$1167,출고!$B$2:$B$1167,B563,출고!$C$2:$C$1167,C563)/SUMIFS(출고!$D$2:$D$1167,출고!$B$2:$B$1167,B563,출고!$C$2:$C$1167,C563)</f>
        <v>11926.6404935502</v>
      </c>
      <c r="G563" s="0" t="n">
        <f aca="false">D563*F563</f>
        <v>4055057.76780707</v>
      </c>
      <c r="H563" s="0" t="n">
        <f aca="false">INDEX(마스터!$E:$E,MATCH(C563,마스터!$A:$A,0))</f>
        <v>6110</v>
      </c>
      <c r="I563" s="0" t="n">
        <f aca="false">IF(OR(E563="개정판교체",E563="파본"),0,D563*H563)</f>
        <v>2077400</v>
      </c>
    </row>
    <row r="564" customFormat="false" ht="15" hidden="false" customHeight="false" outlineLevel="0" collapsed="false">
      <c r="A564" s="0" t="s">
        <v>110</v>
      </c>
      <c r="B564" s="1" t="s">
        <v>17</v>
      </c>
      <c r="C564" s="1" t="s">
        <v>60</v>
      </c>
      <c r="D564" s="0" t="n">
        <v>1023</v>
      </c>
      <c r="E564" s="1" t="s">
        <v>120</v>
      </c>
      <c r="F564" s="0" t="n">
        <f aca="false">SUMIFS(출고!$F$2:$F$1167,출고!$B$2:$B$1167,B564,출고!$C$2:$C$1167,C564)/SUMIFS(출고!$D$2:$D$1167,출고!$B$2:$B$1167,B564,출고!$C$2:$C$1167,C564)</f>
        <v>12571.1757538836</v>
      </c>
      <c r="G564" s="0" t="n">
        <f aca="false">D564*F564</f>
        <v>12860312.796223</v>
      </c>
      <c r="H564" s="0" t="n">
        <f aca="false">INDEX(마스터!$E:$E,MATCH(C564,마스터!$A:$A,0))</f>
        <v>6980</v>
      </c>
      <c r="I564" s="0" t="n">
        <f aca="false">IF(OR(E564="개정판교체",E564="파본"),0,D564*H564)</f>
        <v>0</v>
      </c>
    </row>
    <row r="565" customFormat="false" ht="15" hidden="false" customHeight="false" outlineLevel="0" collapsed="false">
      <c r="A565" s="0" t="s">
        <v>110</v>
      </c>
      <c r="B565" s="1" t="s">
        <v>17</v>
      </c>
      <c r="C565" s="1" t="s">
        <v>68</v>
      </c>
      <c r="D565" s="0" t="n">
        <v>1081</v>
      </c>
      <c r="E565" s="1" t="s">
        <v>116</v>
      </c>
      <c r="F565" s="0" t="n">
        <f aca="false">SUMIFS(출고!$F$2:$F$1167,출고!$B$2:$B$1167,B565,출고!$C$2:$C$1167,C565)/SUMIFS(출고!$D$2:$D$1167,출고!$B$2:$B$1167,B565,출고!$C$2:$C$1167,C565)</f>
        <v>9669.97838616715</v>
      </c>
      <c r="G565" s="0" t="n">
        <f aca="false">D565*F565</f>
        <v>10453246.6354467</v>
      </c>
      <c r="H565" s="0" t="n">
        <f aca="false">INDEX(마스터!$E:$E,MATCH(C565,마스터!$A:$A,0))</f>
        <v>4880</v>
      </c>
      <c r="I565" s="0" t="n">
        <f aca="false">IF(OR(E565="개정판교체",E565="파본"),0,D565*H565)</f>
        <v>5275280</v>
      </c>
    </row>
    <row r="566" customFormat="false" ht="15" hidden="false" customHeight="false" outlineLevel="0" collapsed="false">
      <c r="A566" s="0" t="s">
        <v>110</v>
      </c>
      <c r="B566" s="1" t="s">
        <v>17</v>
      </c>
      <c r="C566" s="1" t="s">
        <v>47</v>
      </c>
      <c r="D566" s="0" t="n">
        <v>875</v>
      </c>
      <c r="E566" s="1" t="s">
        <v>116</v>
      </c>
      <c r="F566" s="0" t="n">
        <f aca="false">SUMIFS(출고!$F$2:$F$1167,출고!$B$2:$B$1167,B566,출고!$C$2:$C$1167,C566)/SUMIFS(출고!$D$2:$D$1167,출고!$B$2:$B$1167,B566,출고!$C$2:$C$1167,C566)</f>
        <v>8386.65559982293</v>
      </c>
      <c r="G566" s="0" t="n">
        <f aca="false">D566*F566</f>
        <v>7338323.64984507</v>
      </c>
      <c r="H566" s="0" t="n">
        <f aca="false">INDEX(마스터!$E:$E,MATCH(C566,마스터!$A:$A,0))</f>
        <v>4170</v>
      </c>
      <c r="I566" s="0" t="n">
        <f aca="false">IF(OR(E566="개정판교체",E566="파본"),0,D566*H566)</f>
        <v>3648750</v>
      </c>
    </row>
    <row r="567" customFormat="false" ht="15" hidden="false" customHeight="false" outlineLevel="0" collapsed="false">
      <c r="A567" s="0" t="s">
        <v>110</v>
      </c>
      <c r="B567" s="1" t="s">
        <v>18</v>
      </c>
      <c r="C567" s="1" t="s">
        <v>48</v>
      </c>
      <c r="D567" s="0" t="n">
        <v>444</v>
      </c>
      <c r="E567" s="1" t="s">
        <v>116</v>
      </c>
      <c r="F567" s="0" t="n">
        <f aca="false">SUMIFS(출고!$F$2:$F$1167,출고!$B$2:$B$1167,B567,출고!$C$2:$C$1167,C567)/SUMIFS(출고!$D$2:$D$1167,출고!$B$2:$B$1167,B567,출고!$C$2:$C$1167,C567)</f>
        <v>12977.3885573886</v>
      </c>
      <c r="G567" s="0" t="n">
        <f aca="false">D567*F567</f>
        <v>5761960.51948052</v>
      </c>
      <c r="H567" s="0" t="n">
        <f aca="false">INDEX(마스터!$E:$E,MATCH(C567,마스터!$A:$A,0))</f>
        <v>6440</v>
      </c>
      <c r="I567" s="0" t="n">
        <f aca="false">IF(OR(E567="개정판교체",E567="파본"),0,D567*H567)</f>
        <v>2859360</v>
      </c>
    </row>
    <row r="568" customFormat="false" ht="15" hidden="false" customHeight="false" outlineLevel="0" collapsed="false">
      <c r="A568" s="0" t="s">
        <v>110</v>
      </c>
      <c r="B568" s="1" t="s">
        <v>18</v>
      </c>
      <c r="C568" s="1" t="s">
        <v>48</v>
      </c>
      <c r="D568" s="0" t="n">
        <v>379</v>
      </c>
      <c r="E568" s="1" t="s">
        <v>118</v>
      </c>
      <c r="F568" s="0" t="n">
        <f aca="false">SUMIFS(출고!$F$2:$F$1167,출고!$B$2:$B$1167,B568,출고!$C$2:$C$1167,C568)/SUMIFS(출고!$D$2:$D$1167,출고!$B$2:$B$1167,B568,출고!$C$2:$C$1167,C568)</f>
        <v>12977.3885573886</v>
      </c>
      <c r="G568" s="0" t="n">
        <f aca="false">D568*F568</f>
        <v>4918430.26325026</v>
      </c>
      <c r="H568" s="0" t="n">
        <f aca="false">INDEX(마스터!$E:$E,MATCH(C568,마스터!$A:$A,0))</f>
        <v>6440</v>
      </c>
      <c r="I568" s="0" t="n">
        <f aca="false">IF(OR(E568="개정판교체",E568="파본"),0,D568*H568)</f>
        <v>0</v>
      </c>
    </row>
    <row r="569" customFormat="false" ht="15" hidden="false" customHeight="false" outlineLevel="0" collapsed="false">
      <c r="A569" s="0" t="s">
        <v>110</v>
      </c>
      <c r="B569" s="1" t="s">
        <v>18</v>
      </c>
      <c r="C569" s="1" t="s">
        <v>51</v>
      </c>
      <c r="D569" s="0" t="n">
        <v>410</v>
      </c>
      <c r="E569" s="1" t="s">
        <v>116</v>
      </c>
      <c r="F569" s="0" t="n">
        <f aca="false">SUMIFS(출고!$F$2:$F$1167,출고!$B$2:$B$1167,B569,출고!$C$2:$C$1167,C569)/SUMIFS(출고!$D$2:$D$1167,출고!$B$2:$B$1167,B569,출고!$C$2:$C$1167,C569)</f>
        <v>14411.0224506357</v>
      </c>
      <c r="G569" s="0" t="n">
        <f aca="false">D569*F569</f>
        <v>5908519.20476062</v>
      </c>
      <c r="H569" s="0" t="n">
        <f aca="false">INDEX(마스터!$E:$E,MATCH(C569,마스터!$A:$A,0))</f>
        <v>7480</v>
      </c>
      <c r="I569" s="0" t="n">
        <f aca="false">IF(OR(E569="개정판교체",E569="파본"),0,D569*H569)</f>
        <v>3066800</v>
      </c>
    </row>
    <row r="570" customFormat="false" ht="15" hidden="false" customHeight="false" outlineLevel="0" collapsed="false">
      <c r="A570" s="0" t="s">
        <v>110</v>
      </c>
      <c r="B570" s="1" t="s">
        <v>18</v>
      </c>
      <c r="C570" s="1" t="s">
        <v>51</v>
      </c>
      <c r="D570" s="0" t="n">
        <v>309</v>
      </c>
      <c r="E570" s="1" t="s">
        <v>118</v>
      </c>
      <c r="F570" s="0" t="n">
        <f aca="false">SUMIFS(출고!$F$2:$F$1167,출고!$B$2:$B$1167,B570,출고!$C$2:$C$1167,C570)/SUMIFS(출고!$D$2:$D$1167,출고!$B$2:$B$1167,B570,출고!$C$2:$C$1167,C570)</f>
        <v>14411.0224506357</v>
      </c>
      <c r="G570" s="0" t="n">
        <f aca="false">D570*F570</f>
        <v>4453005.93724642</v>
      </c>
      <c r="H570" s="0" t="n">
        <f aca="false">INDEX(마스터!$E:$E,MATCH(C570,마스터!$A:$A,0))</f>
        <v>7480</v>
      </c>
      <c r="I570" s="0" t="n">
        <f aca="false">IF(OR(E570="개정판교체",E570="파본"),0,D570*H570)</f>
        <v>0</v>
      </c>
    </row>
    <row r="571" customFormat="false" ht="15" hidden="false" customHeight="false" outlineLevel="0" collapsed="false">
      <c r="A571" s="0" t="s">
        <v>110</v>
      </c>
      <c r="B571" s="1" t="s">
        <v>19</v>
      </c>
      <c r="C571" s="1" t="s">
        <v>77</v>
      </c>
      <c r="D571" s="0" t="n">
        <v>1625</v>
      </c>
      <c r="E571" s="1" t="s">
        <v>116</v>
      </c>
      <c r="F571" s="0" t="n">
        <f aca="false">SUMIFS(출고!$F$2:$F$1167,출고!$B$2:$B$1167,B571,출고!$C$2:$C$1167,C571)/SUMIFS(출고!$D$2:$D$1167,출고!$B$2:$B$1167,B571,출고!$C$2:$C$1167,C571)</f>
        <v>11016.1690450055</v>
      </c>
      <c r="G571" s="0" t="n">
        <f aca="false">D571*F571</f>
        <v>17901274.6981339</v>
      </c>
      <c r="H571" s="0" t="n">
        <f aca="false">INDEX(마스터!$E:$E,MATCH(C571,마스터!$A:$A,0))</f>
        <v>5380</v>
      </c>
      <c r="I571" s="0" t="n">
        <f aca="false">IF(OR(E571="개정판교체",E571="파본"),0,D571*H571)</f>
        <v>8742500</v>
      </c>
    </row>
    <row r="572" customFormat="false" ht="15" hidden="false" customHeight="false" outlineLevel="0" collapsed="false">
      <c r="A572" s="0" t="s">
        <v>110</v>
      </c>
      <c r="B572" s="1" t="s">
        <v>20</v>
      </c>
      <c r="C572" s="1" t="s">
        <v>55</v>
      </c>
      <c r="D572" s="0" t="n">
        <v>387</v>
      </c>
      <c r="E572" s="1" t="s">
        <v>116</v>
      </c>
      <c r="F572" s="0" t="n">
        <f aca="false">SUMIFS(출고!$F$2:$F$1167,출고!$B$2:$B$1167,B572,출고!$C$2:$C$1167,C572)/SUMIFS(출고!$D$2:$D$1167,출고!$B$2:$B$1167,B572,출고!$C$2:$C$1167,C572)</f>
        <v>13083.9090511587</v>
      </c>
      <c r="G572" s="0" t="n">
        <f aca="false">D572*F572</f>
        <v>5063472.80279843</v>
      </c>
      <c r="H572" s="0" t="n">
        <f aca="false">INDEX(마스터!$E:$E,MATCH(C572,마스터!$A:$A,0))</f>
        <v>6040</v>
      </c>
      <c r="I572" s="0" t="n">
        <f aca="false">IF(OR(E572="개정판교체",E572="파본"),0,D572*H572)</f>
        <v>2337480</v>
      </c>
    </row>
    <row r="573" customFormat="false" ht="15" hidden="false" customHeight="false" outlineLevel="0" collapsed="false">
      <c r="A573" s="0" t="s">
        <v>110</v>
      </c>
      <c r="B573" s="1" t="s">
        <v>20</v>
      </c>
      <c r="C573" s="1" t="s">
        <v>55</v>
      </c>
      <c r="D573" s="0" t="n">
        <v>209</v>
      </c>
      <c r="E573" s="1" t="s">
        <v>118</v>
      </c>
      <c r="F573" s="0" t="n">
        <f aca="false">SUMIFS(출고!$F$2:$F$1167,출고!$B$2:$B$1167,B573,출고!$C$2:$C$1167,C573)/SUMIFS(출고!$D$2:$D$1167,출고!$B$2:$B$1167,B573,출고!$C$2:$C$1167,C573)</f>
        <v>13083.9090511587</v>
      </c>
      <c r="G573" s="0" t="n">
        <f aca="false">D573*F573</f>
        <v>2734536.99169217</v>
      </c>
      <c r="H573" s="0" t="n">
        <f aca="false">INDEX(마스터!$E:$E,MATCH(C573,마스터!$A:$A,0))</f>
        <v>6040</v>
      </c>
      <c r="I573" s="0" t="n">
        <f aca="false">IF(OR(E573="개정판교체",E573="파본"),0,D573*H573)</f>
        <v>0</v>
      </c>
    </row>
    <row r="574" customFormat="false" ht="15" hidden="false" customHeight="false" outlineLevel="0" collapsed="false">
      <c r="A574" s="0" t="s">
        <v>110</v>
      </c>
      <c r="B574" s="1" t="s">
        <v>21</v>
      </c>
      <c r="C574" s="1" t="s">
        <v>48</v>
      </c>
      <c r="D574" s="0" t="n">
        <v>314</v>
      </c>
      <c r="E574" s="1" t="s">
        <v>117</v>
      </c>
      <c r="F574" s="0" t="n">
        <f aca="false">SUMIFS(출고!$F$2:$F$1167,출고!$B$2:$B$1167,B574,출고!$C$2:$C$1167,C574)/SUMIFS(출고!$D$2:$D$1167,출고!$B$2:$B$1167,B574,출고!$C$2:$C$1167,C574)</f>
        <v>12961.5133779264</v>
      </c>
      <c r="G574" s="0" t="n">
        <f aca="false">D574*F574</f>
        <v>4069915.2006689</v>
      </c>
      <c r="H574" s="0" t="n">
        <f aca="false">INDEX(마스터!$E:$E,MATCH(C574,마스터!$A:$A,0))</f>
        <v>6440</v>
      </c>
      <c r="I574" s="0" t="n">
        <f aca="false">IF(OR(E574="개정판교체",E574="파본"),0,D574*H574)</f>
        <v>2022160</v>
      </c>
    </row>
    <row r="575" customFormat="false" ht="15" hidden="false" customHeight="false" outlineLevel="0" collapsed="false">
      <c r="A575" s="0" t="s">
        <v>110</v>
      </c>
      <c r="B575" s="1" t="s">
        <v>21</v>
      </c>
      <c r="C575" s="1" t="s">
        <v>48</v>
      </c>
      <c r="D575" s="0" t="n">
        <v>267</v>
      </c>
      <c r="E575" s="1" t="s">
        <v>118</v>
      </c>
      <c r="F575" s="0" t="n">
        <f aca="false">SUMIFS(출고!$F$2:$F$1167,출고!$B$2:$B$1167,B575,출고!$C$2:$C$1167,C575)/SUMIFS(출고!$D$2:$D$1167,출고!$B$2:$B$1167,B575,출고!$C$2:$C$1167,C575)</f>
        <v>12961.5133779264</v>
      </c>
      <c r="G575" s="0" t="n">
        <f aca="false">D575*F575</f>
        <v>3460724.07190635</v>
      </c>
      <c r="H575" s="0" t="n">
        <f aca="false">INDEX(마스터!$E:$E,MATCH(C575,마스터!$A:$A,0))</f>
        <v>6440</v>
      </c>
      <c r="I575" s="0" t="n">
        <f aca="false">IF(OR(E575="개정판교체",E575="파본"),0,D575*H575)</f>
        <v>0</v>
      </c>
    </row>
    <row r="576" customFormat="false" ht="15" hidden="false" customHeight="false" outlineLevel="0" collapsed="false">
      <c r="A576" s="0" t="s">
        <v>110</v>
      </c>
      <c r="B576" s="1" t="s">
        <v>22</v>
      </c>
      <c r="C576" s="1" t="s">
        <v>42</v>
      </c>
      <c r="D576" s="0" t="n">
        <v>740</v>
      </c>
      <c r="E576" s="1" t="s">
        <v>116</v>
      </c>
      <c r="F576" s="0" t="n">
        <f aca="false">SUMIFS(출고!$F$2:$F$1167,출고!$B$2:$B$1167,B576,출고!$C$2:$C$1167,C576)/SUMIFS(출고!$D$2:$D$1167,출고!$B$2:$B$1167,B576,출고!$C$2:$C$1167,C576)</f>
        <v>13347.9758011772</v>
      </c>
      <c r="G576" s="0" t="n">
        <f aca="false">D576*F576</f>
        <v>9877502.09287116</v>
      </c>
      <c r="H576" s="0" t="n">
        <f aca="false">INDEX(마스터!$E:$E,MATCH(C576,마스터!$A:$A,0))</f>
        <v>6730</v>
      </c>
      <c r="I576" s="0" t="n">
        <f aca="false">IF(OR(E576="개정판교체",E576="파본"),0,D576*H576)</f>
        <v>4980200</v>
      </c>
    </row>
    <row r="577" customFormat="false" ht="15" hidden="false" customHeight="false" outlineLevel="0" collapsed="false">
      <c r="A577" s="0" t="s">
        <v>110</v>
      </c>
      <c r="B577" s="1" t="s">
        <v>22</v>
      </c>
      <c r="C577" s="1" t="s">
        <v>42</v>
      </c>
      <c r="D577" s="0" t="n">
        <v>454</v>
      </c>
      <c r="E577" s="1" t="s">
        <v>118</v>
      </c>
      <c r="F577" s="0" t="n">
        <f aca="false">SUMIFS(출고!$F$2:$F$1167,출고!$B$2:$B$1167,B577,출고!$C$2:$C$1167,C577)/SUMIFS(출고!$D$2:$D$1167,출고!$B$2:$B$1167,B577,출고!$C$2:$C$1167,C577)</f>
        <v>13347.9758011772</v>
      </c>
      <c r="G577" s="0" t="n">
        <f aca="false">D577*F577</f>
        <v>6059981.01373447</v>
      </c>
      <c r="H577" s="0" t="n">
        <f aca="false">INDEX(마스터!$E:$E,MATCH(C577,마스터!$A:$A,0))</f>
        <v>6730</v>
      </c>
      <c r="I577" s="0" t="n">
        <f aca="false">IF(OR(E577="개정판교체",E577="파본"),0,D577*H577)</f>
        <v>0</v>
      </c>
    </row>
    <row r="578" customFormat="false" ht="15" hidden="false" customHeight="false" outlineLevel="0" collapsed="false">
      <c r="A578" s="0" t="s">
        <v>110</v>
      </c>
      <c r="B578" s="1" t="s">
        <v>23</v>
      </c>
      <c r="C578" s="1" t="s">
        <v>42</v>
      </c>
      <c r="D578" s="0" t="n">
        <v>826</v>
      </c>
      <c r="E578" s="1" t="s">
        <v>117</v>
      </c>
      <c r="F578" s="0" t="n">
        <f aca="false">SUMIFS(출고!$F$2:$F$1167,출고!$B$2:$B$1167,B578,출고!$C$2:$C$1167,C578)/SUMIFS(출고!$D$2:$D$1167,출고!$B$2:$B$1167,B578,출고!$C$2:$C$1167,C578)</f>
        <v>13257.2583608967</v>
      </c>
      <c r="G578" s="0" t="n">
        <f aca="false">D578*F578</f>
        <v>10950495.4061007</v>
      </c>
      <c r="H578" s="0" t="n">
        <f aca="false">INDEX(마스터!$E:$E,MATCH(C578,마스터!$A:$A,0))</f>
        <v>6730</v>
      </c>
      <c r="I578" s="0" t="n">
        <f aca="false">IF(OR(E578="개정판교체",E578="파본"),0,D578*H578)</f>
        <v>5558980</v>
      </c>
    </row>
    <row r="579" customFormat="false" ht="15" hidden="false" customHeight="false" outlineLevel="0" collapsed="false">
      <c r="A579" s="0" t="s">
        <v>110</v>
      </c>
      <c r="B579" s="1" t="s">
        <v>23</v>
      </c>
      <c r="C579" s="1" t="s">
        <v>42</v>
      </c>
      <c r="D579" s="0" t="n">
        <v>506</v>
      </c>
      <c r="E579" s="1" t="s">
        <v>118</v>
      </c>
      <c r="F579" s="0" t="n">
        <f aca="false">SUMIFS(출고!$F$2:$F$1167,출고!$B$2:$B$1167,B579,출고!$C$2:$C$1167,C579)/SUMIFS(출고!$D$2:$D$1167,출고!$B$2:$B$1167,B579,출고!$C$2:$C$1167,C579)</f>
        <v>13257.2583608967</v>
      </c>
      <c r="G579" s="0" t="n">
        <f aca="false">D579*F579</f>
        <v>6708172.73061375</v>
      </c>
      <c r="H579" s="0" t="n">
        <f aca="false">INDEX(마스터!$E:$E,MATCH(C579,마스터!$A:$A,0))</f>
        <v>6730</v>
      </c>
      <c r="I579" s="0" t="n">
        <f aca="false">IF(OR(E579="개정판교체",E579="파본"),0,D579*H579)</f>
        <v>0</v>
      </c>
    </row>
    <row r="580" customFormat="false" ht="15" hidden="false" customHeight="false" outlineLevel="0" collapsed="false">
      <c r="A580" s="0" t="s">
        <v>110</v>
      </c>
      <c r="B580" s="1" t="s">
        <v>25</v>
      </c>
      <c r="C580" s="1" t="s">
        <v>77</v>
      </c>
      <c r="D580" s="0" t="n">
        <v>588</v>
      </c>
      <c r="E580" s="1" t="s">
        <v>116</v>
      </c>
      <c r="F580" s="0" t="n">
        <f aca="false">SUMIFS(출고!$F$2:$F$1167,출고!$B$2:$B$1167,B580,출고!$C$2:$C$1167,C580)/SUMIFS(출고!$D$2:$D$1167,출고!$B$2:$B$1167,B580,출고!$C$2:$C$1167,C580)</f>
        <v>11898.9662576687</v>
      </c>
      <c r="G580" s="0" t="n">
        <f aca="false">D580*F580</f>
        <v>6996592.1595092</v>
      </c>
      <c r="H580" s="0" t="n">
        <f aca="false">INDEX(마스터!$E:$E,MATCH(C580,마스터!$A:$A,0))</f>
        <v>5380</v>
      </c>
      <c r="I580" s="0" t="n">
        <f aca="false">IF(OR(E580="개정판교체",E580="파본"),0,D580*H580)</f>
        <v>3163440</v>
      </c>
    </row>
    <row r="581" customFormat="false" ht="15" hidden="false" customHeight="false" outlineLevel="0" collapsed="false">
      <c r="A581" s="0" t="s">
        <v>110</v>
      </c>
      <c r="B581" s="1" t="s">
        <v>24</v>
      </c>
      <c r="C581" s="1" t="s">
        <v>59</v>
      </c>
      <c r="D581" s="0" t="n">
        <v>839</v>
      </c>
      <c r="E581" s="1" t="s">
        <v>116</v>
      </c>
      <c r="F581" s="0" t="n">
        <f aca="false">SUMIFS(출고!$F$2:$F$1167,출고!$B$2:$B$1167,B581,출고!$C$2:$C$1167,C581)/SUMIFS(출고!$D$2:$D$1167,출고!$B$2:$B$1167,B581,출고!$C$2:$C$1167,C581)</f>
        <v>14021.1489173663</v>
      </c>
      <c r="G581" s="0" t="n">
        <f aca="false">D581*F581</f>
        <v>11763743.9416703</v>
      </c>
      <c r="H581" s="0" t="n">
        <f aca="false">INDEX(마스터!$E:$E,MATCH(C581,마스터!$A:$A,0))</f>
        <v>6520</v>
      </c>
      <c r="I581" s="0" t="n">
        <f aca="false">IF(OR(E581="개정판교체",E581="파본"),0,D581*H581)</f>
        <v>5470280</v>
      </c>
    </row>
    <row r="582" customFormat="false" ht="15" hidden="false" customHeight="false" outlineLevel="0" collapsed="false">
      <c r="A582" s="0" t="s">
        <v>111</v>
      </c>
      <c r="B582" s="1" t="s">
        <v>14</v>
      </c>
      <c r="C582" s="1" t="s">
        <v>37</v>
      </c>
      <c r="D582" s="0" t="n">
        <v>3385</v>
      </c>
      <c r="E582" s="1" t="s">
        <v>117</v>
      </c>
      <c r="F582" s="0" t="n">
        <f aca="false">SUMIFS(출고!$F$2:$F$1167,출고!$B$2:$B$1167,B582,출고!$C$2:$C$1167,C582)/SUMIFS(출고!$D$2:$D$1167,출고!$B$2:$B$1167,B582,출고!$C$2:$C$1167,C582)</f>
        <v>9667.47400201275</v>
      </c>
      <c r="G582" s="0" t="n">
        <f aca="false">D582*F582</f>
        <v>32724399.4968132</v>
      </c>
      <c r="H582" s="0" t="n">
        <f aca="false">INDEX(마스터!$E:$E,MATCH(C582,마스터!$A:$A,0))</f>
        <v>4900</v>
      </c>
      <c r="I582" s="0" t="n">
        <f aca="false">IF(OR(E582="개정판교체",E582="파본"),0,D582*H582)</f>
        <v>16586500</v>
      </c>
    </row>
    <row r="583" customFormat="false" ht="15" hidden="false" customHeight="false" outlineLevel="0" collapsed="false">
      <c r="A583" s="0" t="s">
        <v>111</v>
      </c>
      <c r="B583" s="1" t="s">
        <v>14</v>
      </c>
      <c r="C583" s="1" t="s">
        <v>45</v>
      </c>
      <c r="D583" s="0" t="n">
        <v>5926</v>
      </c>
      <c r="E583" s="1" t="s">
        <v>120</v>
      </c>
      <c r="F583" s="0" t="n">
        <f aca="false">SUMIFS(출고!$F$2:$F$1167,출고!$B$2:$B$1167,B583,출고!$C$2:$C$1167,C583)/SUMIFS(출고!$D$2:$D$1167,출고!$B$2:$B$1167,B583,출고!$C$2:$C$1167,C583)</f>
        <v>11925.6097560976</v>
      </c>
      <c r="G583" s="0" t="n">
        <f aca="false">D583*F583</f>
        <v>70671163.4146342</v>
      </c>
      <c r="H583" s="0" t="n">
        <f aca="false">INDEX(마스터!$E:$E,MATCH(C583,마스터!$A:$A,0))</f>
        <v>6110</v>
      </c>
      <c r="I583" s="0" t="n">
        <f aca="false">IF(OR(E583="개정판교체",E583="파본"),0,D583*H583)</f>
        <v>0</v>
      </c>
    </row>
    <row r="584" customFormat="false" ht="15" hidden="false" customHeight="false" outlineLevel="0" collapsed="false">
      <c r="A584" s="0" t="s">
        <v>111</v>
      </c>
      <c r="B584" s="1" t="s">
        <v>14</v>
      </c>
      <c r="C584" s="1" t="s">
        <v>45</v>
      </c>
      <c r="D584" s="0" t="n">
        <v>5058</v>
      </c>
      <c r="E584" s="1" t="s">
        <v>116</v>
      </c>
      <c r="F584" s="0" t="n">
        <f aca="false">SUMIFS(출고!$F$2:$F$1167,출고!$B$2:$B$1167,B584,출고!$C$2:$C$1167,C584)/SUMIFS(출고!$D$2:$D$1167,출고!$B$2:$B$1167,B584,출고!$C$2:$C$1167,C584)</f>
        <v>11925.6097560976</v>
      </c>
      <c r="G584" s="0" t="n">
        <f aca="false">D584*F584</f>
        <v>60319734.1463415</v>
      </c>
      <c r="H584" s="0" t="n">
        <f aca="false">INDEX(마스터!$E:$E,MATCH(C584,마스터!$A:$A,0))</f>
        <v>6110</v>
      </c>
      <c r="I584" s="0" t="n">
        <f aca="false">IF(OR(E584="개정판교체",E584="파본"),0,D584*H584)</f>
        <v>30904380</v>
      </c>
    </row>
    <row r="585" customFormat="false" ht="15" hidden="false" customHeight="false" outlineLevel="0" collapsed="false">
      <c r="A585" s="0" t="s">
        <v>111</v>
      </c>
      <c r="B585" s="1" t="s">
        <v>14</v>
      </c>
      <c r="C585" s="1" t="s">
        <v>38</v>
      </c>
      <c r="D585" s="0" t="n">
        <v>3692</v>
      </c>
      <c r="E585" s="1" t="s">
        <v>116</v>
      </c>
      <c r="F585" s="0" t="n">
        <f aca="false">SUMIFS(출고!$F$2:$F$1167,출고!$B$2:$B$1167,B585,출고!$C$2:$C$1167,C585)/SUMIFS(출고!$D$2:$D$1167,출고!$B$2:$B$1167,B585,출고!$C$2:$C$1167,C585)</f>
        <v>11280.897005988</v>
      </c>
      <c r="G585" s="0" t="n">
        <f aca="false">D585*F585</f>
        <v>41649071.7461078</v>
      </c>
      <c r="H585" s="0" t="n">
        <f aca="false">INDEX(마스터!$E:$E,MATCH(C585,마스터!$A:$A,0))</f>
        <v>5670</v>
      </c>
      <c r="I585" s="0" t="n">
        <f aca="false">IF(OR(E585="개정판교체",E585="파본"),0,D585*H585)</f>
        <v>20933640</v>
      </c>
    </row>
    <row r="586" customFormat="false" ht="15" hidden="false" customHeight="false" outlineLevel="0" collapsed="false">
      <c r="A586" s="0" t="s">
        <v>111</v>
      </c>
      <c r="B586" s="1" t="s">
        <v>14</v>
      </c>
      <c r="C586" s="1" t="s">
        <v>66</v>
      </c>
      <c r="D586" s="0" t="n">
        <v>2854</v>
      </c>
      <c r="E586" s="1" t="s">
        <v>116</v>
      </c>
      <c r="F586" s="0" t="n">
        <f aca="false">SUMIFS(출고!$F$2:$F$1167,출고!$B$2:$B$1167,B586,출고!$C$2:$C$1167,C586)/SUMIFS(출고!$D$2:$D$1167,출고!$B$2:$B$1167,B586,출고!$C$2:$C$1167,C586)</f>
        <v>11929.8916024553</v>
      </c>
      <c r="G586" s="0" t="n">
        <f aca="false">D586*F586</f>
        <v>34047910.6334073</v>
      </c>
      <c r="H586" s="0" t="n">
        <f aca="false">INDEX(마스터!$E:$E,MATCH(C586,마스터!$A:$A,0))</f>
        <v>6360</v>
      </c>
      <c r="I586" s="0" t="n">
        <f aca="false">IF(OR(E586="개정판교체",E586="파본"),0,D586*H586)</f>
        <v>18151440</v>
      </c>
    </row>
    <row r="587" customFormat="false" ht="15" hidden="false" customHeight="false" outlineLevel="0" collapsed="false">
      <c r="A587" s="0" t="s">
        <v>111</v>
      </c>
      <c r="B587" s="1" t="s">
        <v>15</v>
      </c>
      <c r="C587" s="1" t="s">
        <v>49</v>
      </c>
      <c r="D587" s="0" t="n">
        <v>1103</v>
      </c>
      <c r="E587" s="1" t="s">
        <v>116</v>
      </c>
      <c r="F587" s="0" t="n">
        <f aca="false">SUMIFS(출고!$F$2:$F$1167,출고!$B$2:$B$1167,B587,출고!$C$2:$C$1167,C587)/SUMIFS(출고!$D$2:$D$1167,출고!$B$2:$B$1167,B587,출고!$C$2:$C$1167,C587)</f>
        <v>10062.8997161779</v>
      </c>
      <c r="G587" s="0" t="n">
        <f aca="false">D587*F587</f>
        <v>11099378.3869442</v>
      </c>
      <c r="H587" s="0" t="n">
        <f aca="false">INDEX(마스터!$E:$E,MATCH(C587,마스터!$A:$A,0))</f>
        <v>5430</v>
      </c>
      <c r="I587" s="0" t="n">
        <f aca="false">IF(OR(E587="개정판교체",E587="파본"),0,D587*H587)</f>
        <v>5989290</v>
      </c>
    </row>
    <row r="588" customFormat="false" ht="15" hidden="false" customHeight="false" outlineLevel="0" collapsed="false">
      <c r="A588" s="0" t="s">
        <v>111</v>
      </c>
      <c r="B588" s="1" t="s">
        <v>15</v>
      </c>
      <c r="C588" s="1" t="s">
        <v>45</v>
      </c>
      <c r="D588" s="0" t="n">
        <v>2879</v>
      </c>
      <c r="E588" s="1" t="s">
        <v>120</v>
      </c>
      <c r="F588" s="0" t="n">
        <f aca="false">SUMIFS(출고!$F$2:$F$1167,출고!$B$2:$B$1167,B588,출고!$C$2:$C$1167,C588)/SUMIFS(출고!$D$2:$D$1167,출고!$B$2:$B$1167,B588,출고!$C$2:$C$1167,C588)</f>
        <v>12027.8522622345</v>
      </c>
      <c r="G588" s="0" t="n">
        <f aca="false">D588*F588</f>
        <v>34628186.6629732</v>
      </c>
      <c r="H588" s="0" t="n">
        <f aca="false">INDEX(마스터!$E:$E,MATCH(C588,마스터!$A:$A,0))</f>
        <v>6110</v>
      </c>
      <c r="I588" s="0" t="n">
        <f aca="false">IF(OR(E588="개정판교체",E588="파본"),0,D588*H588)</f>
        <v>0</v>
      </c>
    </row>
    <row r="589" customFormat="false" ht="15" hidden="false" customHeight="false" outlineLevel="0" collapsed="false">
      <c r="A589" s="0" t="s">
        <v>111</v>
      </c>
      <c r="B589" s="1" t="s">
        <v>15</v>
      </c>
      <c r="C589" s="1" t="s">
        <v>45</v>
      </c>
      <c r="D589" s="0" t="n">
        <v>508</v>
      </c>
      <c r="E589" s="1" t="s">
        <v>116</v>
      </c>
      <c r="F589" s="0" t="n">
        <f aca="false">SUMIFS(출고!$F$2:$F$1167,출고!$B$2:$B$1167,B589,출고!$C$2:$C$1167,C589)/SUMIFS(출고!$D$2:$D$1167,출고!$B$2:$B$1167,B589,출고!$C$2:$C$1167,C589)</f>
        <v>12027.8522622345</v>
      </c>
      <c r="G589" s="0" t="n">
        <f aca="false">D589*F589</f>
        <v>6110148.94921514</v>
      </c>
      <c r="H589" s="0" t="n">
        <f aca="false">INDEX(마스터!$E:$E,MATCH(C589,마스터!$A:$A,0))</f>
        <v>6110</v>
      </c>
      <c r="I589" s="0" t="n">
        <f aca="false">IF(OR(E589="개정판교체",E589="파본"),0,D589*H589)</f>
        <v>3103880</v>
      </c>
    </row>
    <row r="590" customFormat="false" ht="15" hidden="false" customHeight="false" outlineLevel="0" collapsed="false">
      <c r="A590" s="0" t="s">
        <v>111</v>
      </c>
      <c r="B590" s="1" t="s">
        <v>15</v>
      </c>
      <c r="C590" s="1" t="s">
        <v>77</v>
      </c>
      <c r="D590" s="0" t="n">
        <v>1239</v>
      </c>
      <c r="E590" s="1" t="s">
        <v>116</v>
      </c>
      <c r="F590" s="0" t="n">
        <f aca="false">SUMIFS(출고!$F$2:$F$1167,출고!$B$2:$B$1167,B590,출고!$C$2:$C$1167,C590)/SUMIFS(출고!$D$2:$D$1167,출고!$B$2:$B$1167,B590,출고!$C$2:$C$1167,C590)</f>
        <v>11045.2647554806</v>
      </c>
      <c r="G590" s="0" t="n">
        <f aca="false">D590*F590</f>
        <v>13685083.0320405</v>
      </c>
      <c r="H590" s="0" t="n">
        <f aca="false">INDEX(마스터!$E:$E,MATCH(C590,마스터!$A:$A,0))</f>
        <v>5380</v>
      </c>
      <c r="I590" s="0" t="n">
        <f aca="false">IF(OR(E590="개정판교체",E590="파본"),0,D590*H590)</f>
        <v>6665820</v>
      </c>
    </row>
    <row r="591" customFormat="false" ht="15" hidden="false" customHeight="false" outlineLevel="0" collapsed="false">
      <c r="A591" s="0" t="s">
        <v>111</v>
      </c>
      <c r="B591" s="1" t="s">
        <v>15</v>
      </c>
      <c r="C591" s="1" t="s">
        <v>42</v>
      </c>
      <c r="D591" s="0" t="n">
        <v>758</v>
      </c>
      <c r="E591" s="1" t="s">
        <v>117</v>
      </c>
      <c r="F591" s="0" t="n">
        <f aca="false">SUMIFS(출고!$F$2:$F$1167,출고!$B$2:$B$1167,B591,출고!$C$2:$C$1167,C591)/SUMIFS(출고!$D$2:$D$1167,출고!$B$2:$B$1167,B591,출고!$C$2:$C$1167,C591)</f>
        <v>12351.9933981295</v>
      </c>
      <c r="G591" s="0" t="n">
        <f aca="false">D591*F591</f>
        <v>9362810.99578214</v>
      </c>
      <c r="H591" s="0" t="n">
        <f aca="false">INDEX(마스터!$E:$E,MATCH(C591,마스터!$A:$A,0))</f>
        <v>6730</v>
      </c>
      <c r="I591" s="0" t="n">
        <f aca="false">IF(OR(E591="개정판교체",E591="파본"),0,D591*H591)</f>
        <v>5101340</v>
      </c>
    </row>
    <row r="592" customFormat="false" ht="15" hidden="false" customHeight="false" outlineLevel="0" collapsed="false">
      <c r="A592" s="0" t="s">
        <v>111</v>
      </c>
      <c r="B592" s="1" t="s">
        <v>15</v>
      </c>
      <c r="C592" s="1" t="s">
        <v>42</v>
      </c>
      <c r="D592" s="0" t="n">
        <v>465</v>
      </c>
      <c r="E592" s="1" t="s">
        <v>118</v>
      </c>
      <c r="F592" s="0" t="n">
        <f aca="false">SUMIFS(출고!$F$2:$F$1167,출고!$B$2:$B$1167,B592,출고!$C$2:$C$1167,C592)/SUMIFS(출고!$D$2:$D$1167,출고!$B$2:$B$1167,B592,출고!$C$2:$C$1167,C592)</f>
        <v>12351.9933981295</v>
      </c>
      <c r="G592" s="0" t="n">
        <f aca="false">D592*F592</f>
        <v>5743676.9301302</v>
      </c>
      <c r="H592" s="0" t="n">
        <f aca="false">INDEX(마스터!$E:$E,MATCH(C592,마스터!$A:$A,0))</f>
        <v>6730</v>
      </c>
      <c r="I592" s="0" t="n">
        <f aca="false">IF(OR(E592="개정판교체",E592="파본"),0,D592*H592)</f>
        <v>0</v>
      </c>
    </row>
    <row r="593" customFormat="false" ht="15" hidden="false" customHeight="false" outlineLevel="0" collapsed="false">
      <c r="A593" s="0" t="s">
        <v>111</v>
      </c>
      <c r="B593" s="1" t="s">
        <v>16</v>
      </c>
      <c r="C593" s="1" t="s">
        <v>45</v>
      </c>
      <c r="D593" s="0" t="n">
        <v>1686</v>
      </c>
      <c r="E593" s="1" t="s">
        <v>120</v>
      </c>
      <c r="F593" s="0" t="n">
        <f aca="false">SUMIFS(출고!$F$2:$F$1167,출고!$B$2:$B$1167,B593,출고!$C$2:$C$1167,C593)/SUMIFS(출고!$D$2:$D$1167,출고!$B$2:$B$1167,B593,출고!$C$2:$C$1167,C593)</f>
        <v>12973.2855813953</v>
      </c>
      <c r="G593" s="0" t="n">
        <f aca="false">D593*F593</f>
        <v>21872959.4902326</v>
      </c>
      <c r="H593" s="0" t="n">
        <f aca="false">INDEX(마스터!$E:$E,MATCH(C593,마스터!$A:$A,0))</f>
        <v>6110</v>
      </c>
      <c r="I593" s="0" t="n">
        <f aca="false">IF(OR(E593="개정판교체",E593="파본"),0,D593*H593)</f>
        <v>0</v>
      </c>
    </row>
    <row r="594" customFormat="false" ht="15" hidden="false" customHeight="false" outlineLevel="0" collapsed="false">
      <c r="A594" s="0" t="s">
        <v>111</v>
      </c>
      <c r="B594" s="1" t="s">
        <v>16</v>
      </c>
      <c r="C594" s="1" t="s">
        <v>44</v>
      </c>
      <c r="D594" s="0" t="n">
        <v>801</v>
      </c>
      <c r="E594" s="1" t="s">
        <v>117</v>
      </c>
      <c r="F594" s="0" t="n">
        <f aca="false">SUMIFS(출고!$F$2:$F$1167,출고!$B$2:$B$1167,B594,출고!$C$2:$C$1167,C594)/SUMIFS(출고!$D$2:$D$1167,출고!$B$2:$B$1167,B594,출고!$C$2:$C$1167,C594)</f>
        <v>12069.6448175654</v>
      </c>
      <c r="G594" s="0" t="n">
        <f aca="false">D594*F594</f>
        <v>9667785.49886987</v>
      </c>
      <c r="H594" s="0" t="n">
        <f aca="false">INDEX(마스터!$E:$E,MATCH(C594,마스터!$A:$A,0))</f>
        <v>5500</v>
      </c>
      <c r="I594" s="0" t="n">
        <f aca="false">IF(OR(E594="개정판교체",E594="파본"),0,D594*H594)</f>
        <v>4405500</v>
      </c>
    </row>
    <row r="595" customFormat="false" ht="15" hidden="false" customHeight="false" outlineLevel="0" collapsed="false">
      <c r="A595" s="0" t="s">
        <v>111</v>
      </c>
      <c r="B595" s="1" t="s">
        <v>16</v>
      </c>
      <c r="C595" s="1" t="s">
        <v>36</v>
      </c>
      <c r="D595" s="0" t="n">
        <v>789</v>
      </c>
      <c r="E595" s="1" t="s">
        <v>117</v>
      </c>
      <c r="F595" s="0" t="n">
        <f aca="false">SUMIFS(출고!$F$2:$F$1167,출고!$B$2:$B$1167,B595,출고!$C$2:$C$1167,C595)/SUMIFS(출고!$D$2:$D$1167,출고!$B$2:$B$1167,B595,출고!$C$2:$C$1167,C595)</f>
        <v>10276.1189099917</v>
      </c>
      <c r="G595" s="0" t="n">
        <f aca="false">D595*F595</f>
        <v>8107857.81998349</v>
      </c>
      <c r="H595" s="0" t="n">
        <f aca="false">INDEX(마스터!$E:$E,MATCH(C595,마스터!$A:$A,0))</f>
        <v>4540</v>
      </c>
      <c r="I595" s="0" t="n">
        <f aca="false">IF(OR(E595="개정판교체",E595="파본"),0,D595*H595)</f>
        <v>3582060</v>
      </c>
    </row>
    <row r="596" customFormat="false" ht="15" hidden="false" customHeight="false" outlineLevel="0" collapsed="false">
      <c r="A596" s="0" t="s">
        <v>111</v>
      </c>
      <c r="B596" s="1" t="s">
        <v>17</v>
      </c>
      <c r="C596" s="1" t="s">
        <v>45</v>
      </c>
      <c r="D596" s="0" t="n">
        <v>1983</v>
      </c>
      <c r="E596" s="1" t="s">
        <v>120</v>
      </c>
      <c r="F596" s="0" t="n">
        <f aca="false">SUMIFS(출고!$F$2:$F$1167,출고!$B$2:$B$1167,B596,출고!$C$2:$C$1167,C596)/SUMIFS(출고!$D$2:$D$1167,출고!$B$2:$B$1167,B596,출고!$C$2:$C$1167,C596)</f>
        <v>11926.6404935502</v>
      </c>
      <c r="G596" s="0" t="n">
        <f aca="false">D596*F596</f>
        <v>23650528.09871</v>
      </c>
      <c r="H596" s="0" t="n">
        <f aca="false">INDEX(마스터!$E:$E,MATCH(C596,마스터!$A:$A,0))</f>
        <v>6110</v>
      </c>
      <c r="I596" s="0" t="n">
        <f aca="false">IF(OR(E596="개정판교체",E596="파본"),0,D596*H596)</f>
        <v>0</v>
      </c>
    </row>
    <row r="597" customFormat="false" ht="15" hidden="false" customHeight="false" outlineLevel="0" collapsed="false">
      <c r="A597" s="0" t="s">
        <v>111</v>
      </c>
      <c r="B597" s="1" t="s">
        <v>17</v>
      </c>
      <c r="C597" s="1" t="s">
        <v>38</v>
      </c>
      <c r="D597" s="0" t="n">
        <v>1242</v>
      </c>
      <c r="E597" s="1" t="s">
        <v>117</v>
      </c>
      <c r="F597" s="0" t="n">
        <f aca="false">SUMIFS(출고!$F$2:$F$1167,출고!$B$2:$B$1167,B597,출고!$C$2:$C$1167,C597)/SUMIFS(출고!$D$2:$D$1167,출고!$B$2:$B$1167,B597,출고!$C$2:$C$1167,C597)</f>
        <v>11290.7279191617</v>
      </c>
      <c r="G597" s="0" t="n">
        <f aca="false">D597*F597</f>
        <v>14023084.0755988</v>
      </c>
      <c r="H597" s="0" t="n">
        <f aca="false">INDEX(마스터!$E:$E,MATCH(C597,마스터!$A:$A,0))</f>
        <v>5670</v>
      </c>
      <c r="I597" s="0" t="n">
        <f aca="false">IF(OR(E597="개정판교체",E597="파본"),0,D597*H597)</f>
        <v>7042140</v>
      </c>
    </row>
    <row r="598" customFormat="false" ht="15" hidden="false" customHeight="false" outlineLevel="0" collapsed="false">
      <c r="A598" s="0" t="s">
        <v>111</v>
      </c>
      <c r="B598" s="1" t="s">
        <v>17</v>
      </c>
      <c r="C598" s="1" t="s">
        <v>41</v>
      </c>
      <c r="D598" s="0" t="n">
        <v>1055</v>
      </c>
      <c r="E598" s="1" t="s">
        <v>117</v>
      </c>
      <c r="F598" s="0" t="n">
        <f aca="false">SUMIFS(출고!$F$2:$F$1167,출고!$B$2:$B$1167,B598,출고!$C$2:$C$1167,C598)/SUMIFS(출고!$D$2:$D$1167,출고!$B$2:$B$1167,B598,출고!$C$2:$C$1167,C598)</f>
        <v>10955.0155508266</v>
      </c>
      <c r="G598" s="0" t="n">
        <f aca="false">D598*F598</f>
        <v>11557541.4061221</v>
      </c>
      <c r="H598" s="0" t="n">
        <f aca="false">INDEX(마스터!$E:$E,MATCH(C598,마스터!$A:$A,0))</f>
        <v>5480</v>
      </c>
      <c r="I598" s="0" t="n">
        <f aca="false">IF(OR(E598="개정판교체",E598="파본"),0,D598*H598)</f>
        <v>5781400</v>
      </c>
    </row>
    <row r="599" customFormat="false" ht="15" hidden="false" customHeight="false" outlineLevel="0" collapsed="false">
      <c r="A599" s="0" t="s">
        <v>111</v>
      </c>
      <c r="B599" s="1" t="s">
        <v>18</v>
      </c>
      <c r="C599" s="1" t="s">
        <v>88</v>
      </c>
      <c r="D599" s="0" t="n">
        <v>1072</v>
      </c>
      <c r="E599" s="1" t="s">
        <v>116</v>
      </c>
      <c r="F599" s="0" t="n">
        <f aca="false">SUMIFS(출고!$F$2:$F$1167,출고!$B$2:$B$1167,B599,출고!$C$2:$C$1167,C599)/SUMIFS(출고!$D$2:$D$1167,출고!$B$2:$B$1167,B599,출고!$C$2:$C$1167,C599)</f>
        <v>11854.9394463668</v>
      </c>
      <c r="G599" s="0" t="n">
        <f aca="false">D599*F599</f>
        <v>12708495.0865052</v>
      </c>
      <c r="H599" s="0" t="n">
        <f aca="false">INDEX(마스터!$E:$E,MATCH(C599,마스터!$A:$A,0))</f>
        <v>5930</v>
      </c>
      <c r="I599" s="0" t="n">
        <f aca="false">IF(OR(E599="개정판교체",E599="파본"),0,D599*H599)</f>
        <v>6356960</v>
      </c>
    </row>
    <row r="600" customFormat="false" ht="15" hidden="false" customHeight="false" outlineLevel="0" collapsed="false">
      <c r="A600" s="0" t="s">
        <v>111</v>
      </c>
      <c r="B600" s="1" t="s">
        <v>19</v>
      </c>
      <c r="C600" s="1" t="s">
        <v>77</v>
      </c>
      <c r="D600" s="0" t="n">
        <v>1461</v>
      </c>
      <c r="E600" s="1" t="s">
        <v>116</v>
      </c>
      <c r="F600" s="0" t="n">
        <f aca="false">SUMIFS(출고!$F$2:$F$1167,출고!$B$2:$B$1167,B600,출고!$C$2:$C$1167,C600)/SUMIFS(출고!$D$2:$D$1167,출고!$B$2:$B$1167,B600,출고!$C$2:$C$1167,C600)</f>
        <v>11016.1690450055</v>
      </c>
      <c r="G600" s="0" t="n">
        <f aca="false">D600*F600</f>
        <v>16094622.974753</v>
      </c>
      <c r="H600" s="0" t="n">
        <f aca="false">INDEX(마스터!$E:$E,MATCH(C600,마스터!$A:$A,0))</f>
        <v>5380</v>
      </c>
      <c r="I600" s="0" t="n">
        <f aca="false">IF(OR(E600="개정판교체",E600="파본"),0,D600*H600)</f>
        <v>7860180</v>
      </c>
    </row>
    <row r="601" customFormat="false" ht="15" hidden="false" customHeight="false" outlineLevel="0" collapsed="false">
      <c r="A601" s="0" t="s">
        <v>111</v>
      </c>
      <c r="B601" s="1" t="s">
        <v>20</v>
      </c>
      <c r="C601" s="1" t="s">
        <v>48</v>
      </c>
      <c r="D601" s="0" t="n">
        <v>541</v>
      </c>
      <c r="E601" s="1" t="s">
        <v>119</v>
      </c>
      <c r="F601" s="0" t="n">
        <f aca="false">SUMIFS(출고!$F$2:$F$1167,출고!$B$2:$B$1167,B601,출고!$C$2:$C$1167,C601)/SUMIFS(출고!$D$2:$D$1167,출고!$B$2:$B$1167,B601,출고!$C$2:$C$1167,C601)</f>
        <v>13114.0930839495</v>
      </c>
      <c r="G601" s="0" t="n">
        <f aca="false">D601*F601</f>
        <v>7094724.3584167</v>
      </c>
      <c r="H601" s="0" t="n">
        <f aca="false">INDEX(마스터!$E:$E,MATCH(C601,마스터!$A:$A,0))</f>
        <v>6440</v>
      </c>
      <c r="I601" s="0" t="n">
        <f aca="false">IF(OR(E601="개정판교체",E601="파본"),0,D601*H601)</f>
        <v>3484040</v>
      </c>
    </row>
    <row r="602" customFormat="false" ht="15" hidden="false" customHeight="false" outlineLevel="0" collapsed="false">
      <c r="A602" s="0" t="s">
        <v>111</v>
      </c>
      <c r="B602" s="1" t="s">
        <v>20</v>
      </c>
      <c r="C602" s="1" t="s">
        <v>48</v>
      </c>
      <c r="D602" s="0" t="n">
        <v>460</v>
      </c>
      <c r="E602" s="1" t="s">
        <v>118</v>
      </c>
      <c r="F602" s="0" t="n">
        <f aca="false">SUMIFS(출고!$F$2:$F$1167,출고!$B$2:$B$1167,B602,출고!$C$2:$C$1167,C602)/SUMIFS(출고!$D$2:$D$1167,출고!$B$2:$B$1167,B602,출고!$C$2:$C$1167,C602)</f>
        <v>13114.0930839495</v>
      </c>
      <c r="G602" s="0" t="n">
        <f aca="false">D602*F602</f>
        <v>6032482.81861679</v>
      </c>
      <c r="H602" s="0" t="n">
        <f aca="false">INDEX(마스터!$E:$E,MATCH(C602,마스터!$A:$A,0))</f>
        <v>6440</v>
      </c>
      <c r="I602" s="0" t="n">
        <f aca="false">IF(OR(E602="개정판교체",E602="파본"),0,D602*H602)</f>
        <v>0</v>
      </c>
    </row>
    <row r="603" customFormat="false" ht="15" hidden="false" customHeight="false" outlineLevel="0" collapsed="false">
      <c r="A603" s="0" t="s">
        <v>111</v>
      </c>
      <c r="B603" s="1" t="s">
        <v>21</v>
      </c>
      <c r="C603" s="1" t="s">
        <v>45</v>
      </c>
      <c r="D603" s="0" t="n">
        <v>902</v>
      </c>
      <c r="E603" s="1" t="s">
        <v>117</v>
      </c>
      <c r="F603" s="0" t="n">
        <f aca="false">SUMIFS(출고!$F$2:$F$1167,출고!$B$2:$B$1167,B603,출고!$C$2:$C$1167,C603)/SUMIFS(출고!$D$2:$D$1167,출고!$B$2:$B$1167,B603,출고!$C$2:$C$1167,C603)</f>
        <v>12958.6155778894</v>
      </c>
      <c r="G603" s="0" t="n">
        <f aca="false">D603*F603</f>
        <v>11688671.2512563</v>
      </c>
      <c r="H603" s="0" t="n">
        <f aca="false">INDEX(마스터!$E:$E,MATCH(C603,마스터!$A:$A,0))</f>
        <v>6110</v>
      </c>
      <c r="I603" s="0" t="n">
        <f aca="false">IF(OR(E603="개정판교체",E603="파본"),0,D603*H603)</f>
        <v>5511220</v>
      </c>
    </row>
    <row r="604" customFormat="false" ht="15" hidden="false" customHeight="false" outlineLevel="0" collapsed="false">
      <c r="A604" s="0" t="s">
        <v>111</v>
      </c>
      <c r="B604" s="1" t="s">
        <v>21</v>
      </c>
      <c r="C604" s="1" t="s">
        <v>48</v>
      </c>
      <c r="D604" s="0" t="n">
        <v>538</v>
      </c>
      <c r="E604" s="1" t="s">
        <v>117</v>
      </c>
      <c r="F604" s="0" t="n">
        <f aca="false">SUMIFS(출고!$F$2:$F$1167,출고!$B$2:$B$1167,B604,출고!$C$2:$C$1167,C604)/SUMIFS(출고!$D$2:$D$1167,출고!$B$2:$B$1167,B604,출고!$C$2:$C$1167,C604)</f>
        <v>12961.5133779264</v>
      </c>
      <c r="G604" s="0" t="n">
        <f aca="false">D604*F604</f>
        <v>6973294.19732442</v>
      </c>
      <c r="H604" s="0" t="n">
        <f aca="false">INDEX(마스터!$E:$E,MATCH(C604,마스터!$A:$A,0))</f>
        <v>6440</v>
      </c>
      <c r="I604" s="0" t="n">
        <f aca="false">IF(OR(E604="개정판교체",E604="파본"),0,D604*H604)</f>
        <v>3464720</v>
      </c>
    </row>
    <row r="605" customFormat="false" ht="15" hidden="false" customHeight="false" outlineLevel="0" collapsed="false">
      <c r="A605" s="0" t="s">
        <v>111</v>
      </c>
      <c r="B605" s="1" t="s">
        <v>21</v>
      </c>
      <c r="C605" s="1" t="s">
        <v>48</v>
      </c>
      <c r="D605" s="0" t="n">
        <v>458</v>
      </c>
      <c r="E605" s="1" t="s">
        <v>118</v>
      </c>
      <c r="F605" s="0" t="n">
        <f aca="false">SUMIFS(출고!$F$2:$F$1167,출고!$B$2:$B$1167,B605,출고!$C$2:$C$1167,C605)/SUMIFS(출고!$D$2:$D$1167,출고!$B$2:$B$1167,B605,출고!$C$2:$C$1167,C605)</f>
        <v>12961.5133779264</v>
      </c>
      <c r="G605" s="0" t="n">
        <f aca="false">D605*F605</f>
        <v>5936373.1270903</v>
      </c>
      <c r="H605" s="0" t="n">
        <f aca="false">INDEX(마스터!$E:$E,MATCH(C605,마스터!$A:$A,0))</f>
        <v>6440</v>
      </c>
      <c r="I605" s="0" t="n">
        <f aca="false">IF(OR(E605="개정판교체",E605="파본"),0,D605*H605)</f>
        <v>0</v>
      </c>
    </row>
    <row r="606" customFormat="false" ht="15" hidden="false" customHeight="false" outlineLevel="0" collapsed="false">
      <c r="A606" s="0" t="s">
        <v>111</v>
      </c>
      <c r="B606" s="1" t="s">
        <v>22</v>
      </c>
      <c r="C606" s="1" t="s">
        <v>42</v>
      </c>
      <c r="D606" s="0" t="n">
        <v>494</v>
      </c>
      <c r="E606" s="1" t="s">
        <v>117</v>
      </c>
      <c r="F606" s="0" t="n">
        <f aca="false">SUMIFS(출고!$F$2:$F$1167,출고!$B$2:$B$1167,B606,출고!$C$2:$C$1167,C606)/SUMIFS(출고!$D$2:$D$1167,출고!$B$2:$B$1167,B606,출고!$C$2:$C$1167,C606)</f>
        <v>13347.9758011772</v>
      </c>
      <c r="G606" s="0" t="n">
        <f aca="false">D606*F606</f>
        <v>6593900.04578156</v>
      </c>
      <c r="H606" s="0" t="n">
        <f aca="false">INDEX(마스터!$E:$E,MATCH(C606,마스터!$A:$A,0))</f>
        <v>6730</v>
      </c>
      <c r="I606" s="0" t="n">
        <f aca="false">IF(OR(E606="개정판교체",E606="파본"),0,D606*H606)</f>
        <v>3324620</v>
      </c>
    </row>
    <row r="607" customFormat="false" ht="15" hidden="false" customHeight="false" outlineLevel="0" collapsed="false">
      <c r="A607" s="0" t="s">
        <v>111</v>
      </c>
      <c r="B607" s="1" t="s">
        <v>22</v>
      </c>
      <c r="C607" s="1" t="s">
        <v>42</v>
      </c>
      <c r="D607" s="0" t="n">
        <v>302</v>
      </c>
      <c r="E607" s="1" t="s">
        <v>118</v>
      </c>
      <c r="F607" s="0" t="n">
        <f aca="false">SUMIFS(출고!$F$2:$F$1167,출고!$B$2:$B$1167,B607,출고!$C$2:$C$1167,C607)/SUMIFS(출고!$D$2:$D$1167,출고!$B$2:$B$1167,B607,출고!$C$2:$C$1167,C607)</f>
        <v>13347.9758011772</v>
      </c>
      <c r="G607" s="0" t="n">
        <f aca="false">D607*F607</f>
        <v>4031088.69195553</v>
      </c>
      <c r="H607" s="0" t="n">
        <f aca="false">INDEX(마스터!$E:$E,MATCH(C607,마스터!$A:$A,0))</f>
        <v>6730</v>
      </c>
      <c r="I607" s="0" t="n">
        <f aca="false">IF(OR(E607="개정판교체",E607="파본"),0,D607*H607)</f>
        <v>0</v>
      </c>
    </row>
    <row r="608" customFormat="false" ht="15" hidden="false" customHeight="false" outlineLevel="0" collapsed="false">
      <c r="A608" s="0" t="s">
        <v>111</v>
      </c>
      <c r="B608" s="1" t="s">
        <v>23</v>
      </c>
      <c r="C608" s="1" t="s">
        <v>42</v>
      </c>
      <c r="D608" s="0" t="n">
        <v>497</v>
      </c>
      <c r="E608" s="1" t="s">
        <v>116</v>
      </c>
      <c r="F608" s="0" t="n">
        <f aca="false">SUMIFS(출고!$F$2:$F$1167,출고!$B$2:$B$1167,B608,출고!$C$2:$C$1167,C608)/SUMIFS(출고!$D$2:$D$1167,출고!$B$2:$B$1167,B608,출고!$C$2:$C$1167,C608)</f>
        <v>13257.2583608967</v>
      </c>
      <c r="G608" s="0" t="n">
        <f aca="false">D608*F608</f>
        <v>6588857.40536567</v>
      </c>
      <c r="H608" s="0" t="n">
        <f aca="false">INDEX(마스터!$E:$E,MATCH(C608,마스터!$A:$A,0))</f>
        <v>6730</v>
      </c>
      <c r="I608" s="0" t="n">
        <f aca="false">IF(OR(E608="개정판교체",E608="파본"),0,D608*H608)</f>
        <v>3344810</v>
      </c>
    </row>
    <row r="609" customFormat="false" ht="15" hidden="false" customHeight="false" outlineLevel="0" collapsed="false">
      <c r="A609" s="0" t="s">
        <v>111</v>
      </c>
      <c r="B609" s="1" t="s">
        <v>23</v>
      </c>
      <c r="C609" s="1" t="s">
        <v>42</v>
      </c>
      <c r="D609" s="0" t="n">
        <v>304</v>
      </c>
      <c r="E609" s="1" t="s">
        <v>118</v>
      </c>
      <c r="F609" s="0" t="n">
        <f aca="false">SUMIFS(출고!$F$2:$F$1167,출고!$B$2:$B$1167,B609,출고!$C$2:$C$1167,C609)/SUMIFS(출고!$D$2:$D$1167,출고!$B$2:$B$1167,B609,출고!$C$2:$C$1167,C609)</f>
        <v>13257.2583608967</v>
      </c>
      <c r="G609" s="0" t="n">
        <f aca="false">D609*F609</f>
        <v>4030206.54171261</v>
      </c>
      <c r="H609" s="0" t="n">
        <f aca="false">INDEX(마스터!$E:$E,MATCH(C609,마스터!$A:$A,0))</f>
        <v>6730</v>
      </c>
      <c r="I609" s="0" t="n">
        <f aca="false">IF(OR(E609="개정판교체",E609="파본"),0,D609*H609)</f>
        <v>0</v>
      </c>
    </row>
    <row r="610" customFormat="false" ht="15" hidden="false" customHeight="false" outlineLevel="0" collapsed="false">
      <c r="A610" s="0" t="s">
        <v>111</v>
      </c>
      <c r="B610" s="1" t="s">
        <v>25</v>
      </c>
      <c r="C610" s="1" t="s">
        <v>57</v>
      </c>
      <c r="D610" s="0" t="n">
        <v>1195</v>
      </c>
      <c r="E610" s="1" t="s">
        <v>116</v>
      </c>
      <c r="F610" s="0" t="n">
        <f aca="false">SUMIFS(출고!$F$2:$F$1167,출고!$B$2:$B$1167,B610,출고!$C$2:$C$1167,C610)/SUMIFS(출고!$D$2:$D$1167,출고!$B$2:$B$1167,B610,출고!$C$2:$C$1167,C610)</f>
        <v>10494.748</v>
      </c>
      <c r="G610" s="0" t="n">
        <f aca="false">D610*F610</f>
        <v>12541223.86</v>
      </c>
      <c r="H610" s="0" t="n">
        <f aca="false">INDEX(마스터!$E:$E,MATCH(C610,마스터!$A:$A,0))</f>
        <v>4870</v>
      </c>
      <c r="I610" s="0" t="n">
        <f aca="false">IF(OR(E610="개정판교체",E610="파본"),0,D610*H610)</f>
        <v>5819650</v>
      </c>
    </row>
    <row r="611" customFormat="false" ht="15" hidden="false" customHeight="false" outlineLevel="0" collapsed="false">
      <c r="A611" s="0" t="s">
        <v>111</v>
      </c>
      <c r="B611" s="1" t="s">
        <v>24</v>
      </c>
      <c r="C611" s="1" t="s">
        <v>47</v>
      </c>
      <c r="D611" s="0" t="n">
        <v>708</v>
      </c>
      <c r="E611" s="1" t="s">
        <v>116</v>
      </c>
      <c r="F611" s="0" t="n">
        <f aca="false">SUMIFS(출고!$F$2:$F$1167,출고!$B$2:$B$1167,B611,출고!$C$2:$C$1167,C611)/SUMIFS(출고!$D$2:$D$1167,출고!$B$2:$B$1167,B611,출고!$C$2:$C$1167,C611)</f>
        <v>9119.17616126205</v>
      </c>
      <c r="G611" s="0" t="n">
        <f aca="false">D611*F611</f>
        <v>6456376.72217353</v>
      </c>
      <c r="H611" s="0" t="n">
        <f aca="false">INDEX(마스터!$E:$E,MATCH(C611,마스터!$A:$A,0))</f>
        <v>4170</v>
      </c>
      <c r="I611" s="0" t="n">
        <f aca="false">IF(OR(E611="개정판교체",E611="파본"),0,D611*H611)</f>
        <v>2952360</v>
      </c>
    </row>
    <row r="612" customFormat="false" ht="15" hidden="false" customHeight="false" outlineLevel="0" collapsed="false">
      <c r="A612" s="0" t="s">
        <v>113</v>
      </c>
      <c r="B612" s="1" t="s">
        <v>14</v>
      </c>
      <c r="C612" s="1" t="s">
        <v>45</v>
      </c>
      <c r="D612" s="0" t="n">
        <v>4233</v>
      </c>
      <c r="E612" s="1" t="s">
        <v>120</v>
      </c>
      <c r="F612" s="0" t="n">
        <f aca="false">SUMIFS(출고!$F$2:$F$1167,출고!$B$2:$B$1167,B612,출고!$C$2:$C$1167,C612)/SUMIFS(출고!$D$2:$D$1167,출고!$B$2:$B$1167,B612,출고!$C$2:$C$1167,C612)</f>
        <v>11925.6097560976</v>
      </c>
      <c r="G612" s="0" t="n">
        <f aca="false">D612*F612</f>
        <v>50481106.097561</v>
      </c>
      <c r="H612" s="0" t="n">
        <f aca="false">INDEX(마스터!$E:$E,MATCH(C612,마스터!$A:$A,0))</f>
        <v>6110</v>
      </c>
      <c r="I612" s="0" t="n">
        <f aca="false">IF(OR(E612="개정판교체",E612="파본"),0,D612*H612)</f>
        <v>0</v>
      </c>
    </row>
    <row r="613" customFormat="false" ht="15" hidden="false" customHeight="false" outlineLevel="0" collapsed="false">
      <c r="A613" s="0" t="s">
        <v>113</v>
      </c>
      <c r="B613" s="1" t="s">
        <v>14</v>
      </c>
      <c r="C613" s="1" t="s">
        <v>45</v>
      </c>
      <c r="D613" s="0" t="n">
        <v>4314</v>
      </c>
      <c r="E613" s="1" t="s">
        <v>116</v>
      </c>
      <c r="F613" s="0" t="n">
        <f aca="false">SUMIFS(출고!$F$2:$F$1167,출고!$B$2:$B$1167,B613,출고!$C$2:$C$1167,C613)/SUMIFS(출고!$D$2:$D$1167,출고!$B$2:$B$1167,B613,출고!$C$2:$C$1167,C613)</f>
        <v>11925.6097560976</v>
      </c>
      <c r="G613" s="0" t="n">
        <f aca="false">D613*F613</f>
        <v>51447080.4878049</v>
      </c>
      <c r="H613" s="0" t="n">
        <f aca="false">INDEX(마스터!$E:$E,MATCH(C613,마스터!$A:$A,0))</f>
        <v>6110</v>
      </c>
      <c r="I613" s="0" t="n">
        <f aca="false">IF(OR(E613="개정판교체",E613="파본"),0,D613*H613)</f>
        <v>26358540</v>
      </c>
    </row>
    <row r="614" customFormat="false" ht="15" hidden="false" customHeight="false" outlineLevel="0" collapsed="false">
      <c r="A614" s="0" t="s">
        <v>113</v>
      </c>
      <c r="B614" s="1" t="s">
        <v>14</v>
      </c>
      <c r="C614" s="1" t="s">
        <v>38</v>
      </c>
      <c r="D614" s="0" t="n">
        <v>3283</v>
      </c>
      <c r="E614" s="1" t="s">
        <v>116</v>
      </c>
      <c r="F614" s="0" t="n">
        <f aca="false">SUMIFS(출고!$F$2:$F$1167,출고!$B$2:$B$1167,B614,출고!$C$2:$C$1167,C614)/SUMIFS(출고!$D$2:$D$1167,출고!$B$2:$B$1167,B614,출고!$C$2:$C$1167,C614)</f>
        <v>11280.897005988</v>
      </c>
      <c r="G614" s="0" t="n">
        <f aca="false">D614*F614</f>
        <v>37035184.8706587</v>
      </c>
      <c r="H614" s="0" t="n">
        <f aca="false">INDEX(마스터!$E:$E,MATCH(C614,마스터!$A:$A,0))</f>
        <v>5670</v>
      </c>
      <c r="I614" s="0" t="n">
        <f aca="false">IF(OR(E614="개정판교체",E614="파본"),0,D614*H614)</f>
        <v>18614610</v>
      </c>
    </row>
    <row r="615" customFormat="false" ht="15" hidden="false" customHeight="false" outlineLevel="0" collapsed="false">
      <c r="A615" s="0" t="s">
        <v>113</v>
      </c>
      <c r="B615" s="1" t="s">
        <v>14</v>
      </c>
      <c r="C615" s="1" t="s">
        <v>71</v>
      </c>
      <c r="D615" s="0" t="n">
        <v>3156</v>
      </c>
      <c r="E615" s="1" t="s">
        <v>116</v>
      </c>
      <c r="F615" s="0" t="n">
        <f aca="false">SUMIFS(출고!$F$2:$F$1167,출고!$B$2:$B$1167,B615,출고!$C$2:$C$1167,C615)/SUMIFS(출고!$D$2:$D$1167,출고!$B$2:$B$1167,B615,출고!$C$2:$C$1167,C615)</f>
        <v>8381.03885135135</v>
      </c>
      <c r="G615" s="0" t="n">
        <f aca="false">D615*F615</f>
        <v>26450558.6148649</v>
      </c>
      <c r="H615" s="0" t="n">
        <f aca="false">INDEX(마스터!$E:$E,MATCH(C615,마스터!$A:$A,0))</f>
        <v>4330</v>
      </c>
      <c r="I615" s="0" t="n">
        <f aca="false">IF(OR(E615="개정판교체",E615="파본"),0,D615*H615)</f>
        <v>13665480</v>
      </c>
    </row>
    <row r="616" customFormat="false" ht="15" hidden="false" customHeight="false" outlineLevel="0" collapsed="false">
      <c r="A616" s="0" t="s">
        <v>113</v>
      </c>
      <c r="B616" s="1" t="s">
        <v>15</v>
      </c>
      <c r="C616" s="1" t="s">
        <v>45</v>
      </c>
      <c r="D616" s="0" t="n">
        <v>2057</v>
      </c>
      <c r="E616" s="1" t="s">
        <v>120</v>
      </c>
      <c r="F616" s="0" t="n">
        <f aca="false">SUMIFS(출고!$F$2:$F$1167,출고!$B$2:$B$1167,B616,출고!$C$2:$C$1167,C616)/SUMIFS(출고!$D$2:$D$1167,출고!$B$2:$B$1167,B616,출고!$C$2:$C$1167,C616)</f>
        <v>12027.8522622345</v>
      </c>
      <c r="G616" s="0" t="n">
        <f aca="false">D616*F616</f>
        <v>24741292.1034164</v>
      </c>
      <c r="H616" s="0" t="n">
        <f aca="false">INDEX(마스터!$E:$E,MATCH(C616,마스터!$A:$A,0))</f>
        <v>6110</v>
      </c>
      <c r="I616" s="0" t="n">
        <f aca="false">IF(OR(E616="개정판교체",E616="파본"),0,D616*H616)</f>
        <v>0</v>
      </c>
    </row>
    <row r="617" customFormat="false" ht="15" hidden="false" customHeight="false" outlineLevel="0" collapsed="false">
      <c r="A617" s="0" t="s">
        <v>113</v>
      </c>
      <c r="B617" s="1" t="s">
        <v>15</v>
      </c>
      <c r="C617" s="1" t="s">
        <v>45</v>
      </c>
      <c r="D617" s="0" t="n">
        <v>363</v>
      </c>
      <c r="E617" s="1" t="s">
        <v>116</v>
      </c>
      <c r="F617" s="0" t="n">
        <f aca="false">SUMIFS(출고!$F$2:$F$1167,출고!$B$2:$B$1167,B617,출고!$C$2:$C$1167,C617)/SUMIFS(출고!$D$2:$D$1167,출고!$B$2:$B$1167,B617,출고!$C$2:$C$1167,C617)</f>
        <v>12027.8522622345</v>
      </c>
      <c r="G617" s="0" t="n">
        <f aca="false">D617*F617</f>
        <v>4366110.37119114</v>
      </c>
      <c r="H617" s="0" t="n">
        <f aca="false">INDEX(마스터!$E:$E,MATCH(C617,마스터!$A:$A,0))</f>
        <v>6110</v>
      </c>
      <c r="I617" s="0" t="n">
        <f aca="false">IF(OR(E617="개정판교체",E617="파본"),0,D617*H617)</f>
        <v>2217930</v>
      </c>
    </row>
    <row r="618" customFormat="false" ht="15" hidden="false" customHeight="false" outlineLevel="0" collapsed="false">
      <c r="A618" s="0" t="s">
        <v>113</v>
      </c>
      <c r="B618" s="1" t="s">
        <v>15</v>
      </c>
      <c r="C618" s="1" t="s">
        <v>77</v>
      </c>
      <c r="D618" s="0" t="n">
        <v>1203</v>
      </c>
      <c r="E618" s="1" t="s">
        <v>117</v>
      </c>
      <c r="F618" s="0" t="n">
        <f aca="false">SUMIFS(출고!$F$2:$F$1167,출고!$B$2:$B$1167,B618,출고!$C$2:$C$1167,C618)/SUMIFS(출고!$D$2:$D$1167,출고!$B$2:$B$1167,B618,출고!$C$2:$C$1167,C618)</f>
        <v>11045.2647554806</v>
      </c>
      <c r="G618" s="0" t="n">
        <f aca="false">D618*F618</f>
        <v>13287453.5008432</v>
      </c>
      <c r="H618" s="0" t="n">
        <f aca="false">INDEX(마스터!$E:$E,MATCH(C618,마스터!$A:$A,0))</f>
        <v>5380</v>
      </c>
      <c r="I618" s="0" t="n">
        <f aca="false">IF(OR(E618="개정판교체",E618="파본"),0,D618*H618)</f>
        <v>6472140</v>
      </c>
    </row>
    <row r="619" customFormat="false" ht="15" hidden="false" customHeight="false" outlineLevel="0" collapsed="false">
      <c r="A619" s="0" t="s">
        <v>113</v>
      </c>
      <c r="B619" s="1" t="s">
        <v>15</v>
      </c>
      <c r="C619" s="1" t="s">
        <v>80</v>
      </c>
      <c r="D619" s="0" t="n">
        <v>1474</v>
      </c>
      <c r="E619" s="1" t="s">
        <v>116</v>
      </c>
      <c r="F619" s="0" t="n">
        <f aca="false">SUMIFS(출고!$F$2:$F$1167,출고!$B$2:$B$1167,B619,출고!$C$2:$C$1167,C619)/SUMIFS(출고!$D$2:$D$1167,출고!$B$2:$B$1167,B619,출고!$C$2:$C$1167,C619)</f>
        <v>9090</v>
      </c>
      <c r="G619" s="0" t="n">
        <f aca="false">D619*F619</f>
        <v>13398660</v>
      </c>
      <c r="H619" s="0" t="n">
        <f aca="false">INDEX(마스터!$E:$E,MATCH(C619,마스터!$A:$A,0))</f>
        <v>4690</v>
      </c>
      <c r="I619" s="0" t="n">
        <f aca="false">IF(OR(E619="개정판교체",E619="파본"),0,D619*H619)</f>
        <v>6913060</v>
      </c>
    </row>
    <row r="620" customFormat="false" ht="15" hidden="false" customHeight="false" outlineLevel="0" collapsed="false">
      <c r="A620" s="0" t="s">
        <v>113</v>
      </c>
      <c r="B620" s="1" t="s">
        <v>16</v>
      </c>
      <c r="C620" s="1" t="s">
        <v>45</v>
      </c>
      <c r="D620" s="0" t="n">
        <v>1204</v>
      </c>
      <c r="E620" s="1" t="s">
        <v>120</v>
      </c>
      <c r="F620" s="0" t="n">
        <f aca="false">SUMIFS(출고!$F$2:$F$1167,출고!$B$2:$B$1167,B620,출고!$C$2:$C$1167,C620)/SUMIFS(출고!$D$2:$D$1167,출고!$B$2:$B$1167,B620,출고!$C$2:$C$1167,C620)</f>
        <v>12973.2855813953</v>
      </c>
      <c r="G620" s="0" t="n">
        <f aca="false">D620*F620</f>
        <v>15619835.84</v>
      </c>
      <c r="H620" s="0" t="n">
        <f aca="false">INDEX(마스터!$E:$E,MATCH(C620,마스터!$A:$A,0))</f>
        <v>6110</v>
      </c>
      <c r="I620" s="0" t="n">
        <f aca="false">IF(OR(E620="개정판교체",E620="파본"),0,D620*H620)</f>
        <v>0</v>
      </c>
    </row>
    <row r="621" customFormat="false" ht="15" hidden="false" customHeight="false" outlineLevel="0" collapsed="false">
      <c r="A621" s="0" t="s">
        <v>113</v>
      </c>
      <c r="B621" s="1" t="s">
        <v>16</v>
      </c>
      <c r="C621" s="1" t="s">
        <v>38</v>
      </c>
      <c r="D621" s="0" t="n">
        <v>833</v>
      </c>
      <c r="E621" s="1" t="s">
        <v>118</v>
      </c>
      <c r="F621" s="0" t="n">
        <f aca="false">SUMIFS(출고!$F$2:$F$1167,출고!$B$2:$B$1167,B621,출고!$C$2:$C$1167,C621)/SUMIFS(출고!$D$2:$D$1167,출고!$B$2:$B$1167,B621,출고!$C$2:$C$1167,C621)</f>
        <v>12452.79296875</v>
      </c>
      <c r="G621" s="0" t="n">
        <f aca="false">D621*F621</f>
        <v>10373176.5429688</v>
      </c>
      <c r="H621" s="0" t="n">
        <f aca="false">INDEX(마스터!$E:$E,MATCH(C621,마스터!$A:$A,0))</f>
        <v>5670</v>
      </c>
      <c r="I621" s="0" t="n">
        <f aca="false">IF(OR(E621="개정판교체",E621="파본"),0,D621*H621)</f>
        <v>0</v>
      </c>
    </row>
    <row r="622" customFormat="false" ht="15" hidden="false" customHeight="false" outlineLevel="0" collapsed="false">
      <c r="A622" s="0" t="s">
        <v>113</v>
      </c>
      <c r="B622" s="1" t="s">
        <v>16</v>
      </c>
      <c r="C622" s="1" t="s">
        <v>42</v>
      </c>
      <c r="D622" s="0" t="n">
        <v>572</v>
      </c>
      <c r="E622" s="1" t="s">
        <v>116</v>
      </c>
      <c r="F622" s="0" t="n">
        <f aca="false">SUMIFS(출고!$F$2:$F$1167,출고!$B$2:$B$1167,B622,출고!$C$2:$C$1167,C622)/SUMIFS(출고!$D$2:$D$1167,출고!$B$2:$B$1167,B622,출고!$C$2:$C$1167,C622)</f>
        <v>13389.3611793612</v>
      </c>
      <c r="G622" s="0" t="n">
        <f aca="false">D622*F622</f>
        <v>7658714.5945946</v>
      </c>
      <c r="H622" s="0" t="n">
        <f aca="false">INDEX(마스터!$E:$E,MATCH(C622,마스터!$A:$A,0))</f>
        <v>6730</v>
      </c>
      <c r="I622" s="0" t="n">
        <f aca="false">IF(OR(E622="개정판교체",E622="파본"),0,D622*H622)</f>
        <v>3849560</v>
      </c>
    </row>
    <row r="623" customFormat="false" ht="15" hidden="false" customHeight="false" outlineLevel="0" collapsed="false">
      <c r="A623" s="0" t="s">
        <v>113</v>
      </c>
      <c r="B623" s="1" t="s">
        <v>16</v>
      </c>
      <c r="C623" s="1" t="s">
        <v>42</v>
      </c>
      <c r="D623" s="0" t="n">
        <v>350</v>
      </c>
      <c r="E623" s="1" t="s">
        <v>118</v>
      </c>
      <c r="F623" s="0" t="n">
        <f aca="false">SUMIFS(출고!$F$2:$F$1167,출고!$B$2:$B$1167,B623,출고!$C$2:$C$1167,C623)/SUMIFS(출고!$D$2:$D$1167,출고!$B$2:$B$1167,B623,출고!$C$2:$C$1167,C623)</f>
        <v>13389.3611793612</v>
      </c>
      <c r="G623" s="0" t="n">
        <f aca="false">D623*F623</f>
        <v>4686276.41277641</v>
      </c>
      <c r="H623" s="0" t="n">
        <f aca="false">INDEX(마스터!$E:$E,MATCH(C623,마스터!$A:$A,0))</f>
        <v>6730</v>
      </c>
      <c r="I623" s="0" t="n">
        <f aca="false">IF(OR(E623="개정판교체",E623="파본"),0,D623*H623)</f>
        <v>0</v>
      </c>
    </row>
    <row r="624" customFormat="false" ht="15" hidden="false" customHeight="false" outlineLevel="0" collapsed="false">
      <c r="A624" s="0" t="s">
        <v>113</v>
      </c>
      <c r="B624" s="1" t="s">
        <v>17</v>
      </c>
      <c r="C624" s="1" t="s">
        <v>45</v>
      </c>
      <c r="D624" s="0" t="n">
        <v>1417</v>
      </c>
      <c r="E624" s="1" t="s">
        <v>120</v>
      </c>
      <c r="F624" s="0" t="n">
        <f aca="false">SUMIFS(출고!$F$2:$F$1167,출고!$B$2:$B$1167,B624,출고!$C$2:$C$1167,C624)/SUMIFS(출고!$D$2:$D$1167,출고!$B$2:$B$1167,B624,출고!$C$2:$C$1167,C624)</f>
        <v>11926.6404935502</v>
      </c>
      <c r="G624" s="0" t="n">
        <f aca="false">D624*F624</f>
        <v>16900049.5793606</v>
      </c>
      <c r="H624" s="0" t="n">
        <f aca="false">INDEX(마스터!$E:$E,MATCH(C624,마스터!$A:$A,0))</f>
        <v>6110</v>
      </c>
      <c r="I624" s="0" t="n">
        <f aca="false">IF(OR(E624="개정판교체",E624="파본"),0,D624*H624)</f>
        <v>0</v>
      </c>
    </row>
    <row r="625" customFormat="false" ht="15" hidden="false" customHeight="false" outlineLevel="0" collapsed="false">
      <c r="A625" s="0" t="s">
        <v>113</v>
      </c>
      <c r="B625" s="1" t="s">
        <v>17</v>
      </c>
      <c r="C625" s="1" t="s">
        <v>38</v>
      </c>
      <c r="D625" s="0" t="n">
        <v>756</v>
      </c>
      <c r="E625" s="1" t="s">
        <v>116</v>
      </c>
      <c r="F625" s="0" t="n">
        <f aca="false">SUMIFS(출고!$F$2:$F$1167,출고!$B$2:$B$1167,B625,출고!$C$2:$C$1167,C625)/SUMIFS(출고!$D$2:$D$1167,출고!$B$2:$B$1167,B625,출고!$C$2:$C$1167,C625)</f>
        <v>11290.7279191617</v>
      </c>
      <c r="G625" s="0" t="n">
        <f aca="false">D625*F625</f>
        <v>8535790.30688623</v>
      </c>
      <c r="H625" s="0" t="n">
        <f aca="false">INDEX(마스터!$E:$E,MATCH(C625,마스터!$A:$A,0))</f>
        <v>5670</v>
      </c>
      <c r="I625" s="0" t="n">
        <f aca="false">IF(OR(E625="개정판교체",E625="파본"),0,D625*H625)</f>
        <v>4286520</v>
      </c>
    </row>
    <row r="626" customFormat="false" ht="15" hidden="false" customHeight="false" outlineLevel="0" collapsed="false">
      <c r="A626" s="0" t="s">
        <v>113</v>
      </c>
      <c r="B626" s="1" t="s">
        <v>17</v>
      </c>
      <c r="C626" s="1" t="s">
        <v>88</v>
      </c>
      <c r="D626" s="0" t="n">
        <v>1086</v>
      </c>
      <c r="E626" s="1" t="s">
        <v>116</v>
      </c>
      <c r="F626" s="0" t="n">
        <f aca="false">SUMIFS(출고!$F$2:$F$1167,출고!$B$2:$B$1167,B626,출고!$C$2:$C$1167,C626)/SUMIFS(출고!$D$2:$D$1167,출고!$B$2:$B$1167,B626,출고!$C$2:$C$1167,C626)</f>
        <v>10960</v>
      </c>
      <c r="G626" s="0" t="n">
        <f aca="false">D626*F626</f>
        <v>11902560</v>
      </c>
      <c r="H626" s="0" t="n">
        <f aca="false">INDEX(마스터!$E:$E,MATCH(C626,마스터!$A:$A,0))</f>
        <v>5930</v>
      </c>
      <c r="I626" s="0" t="n">
        <f aca="false">IF(OR(E626="개정판교체",E626="파본"),0,D626*H626)</f>
        <v>6439980</v>
      </c>
    </row>
    <row r="627" customFormat="false" ht="15" hidden="false" customHeight="false" outlineLevel="0" collapsed="false">
      <c r="A627" s="0" t="s">
        <v>113</v>
      </c>
      <c r="B627" s="1" t="s">
        <v>18</v>
      </c>
      <c r="C627" s="1" t="s">
        <v>46</v>
      </c>
      <c r="D627" s="0" t="n">
        <v>693</v>
      </c>
      <c r="E627" s="1" t="s">
        <v>116</v>
      </c>
      <c r="F627" s="0" t="n">
        <f aca="false">SUMIFS(출고!$F$2:$F$1167,출고!$B$2:$B$1167,B627,출고!$C$2:$C$1167,C627)/SUMIFS(출고!$D$2:$D$1167,출고!$B$2:$B$1167,B627,출고!$C$2:$C$1167,C627)</f>
        <v>14313.5799424579</v>
      </c>
      <c r="G627" s="0" t="n">
        <f aca="false">D627*F627</f>
        <v>9919310.9001233</v>
      </c>
      <c r="H627" s="0" t="n">
        <f aca="false">INDEX(마스터!$E:$E,MATCH(C627,마스터!$A:$A,0))</f>
        <v>6910</v>
      </c>
      <c r="I627" s="0" t="n">
        <f aca="false">IF(OR(E627="개정판교체",E627="파본"),0,D627*H627)</f>
        <v>4788630</v>
      </c>
    </row>
    <row r="628" customFormat="false" ht="15" hidden="false" customHeight="false" outlineLevel="0" collapsed="false">
      <c r="A628" s="0" t="s">
        <v>113</v>
      </c>
      <c r="B628" s="1" t="s">
        <v>18</v>
      </c>
      <c r="C628" s="1" t="s">
        <v>55</v>
      </c>
      <c r="D628" s="0" t="n">
        <v>485</v>
      </c>
      <c r="E628" s="1" t="s">
        <v>117</v>
      </c>
      <c r="F628" s="0" t="n">
        <f aca="false">SUMIFS(출고!$F$2:$F$1167,출고!$B$2:$B$1167,B628,출고!$C$2:$C$1167,C628)/SUMIFS(출고!$D$2:$D$1167,출고!$B$2:$B$1167,B628,출고!$C$2:$C$1167,C628)</f>
        <v>12881.4484356895</v>
      </c>
      <c r="G628" s="0" t="n">
        <f aca="false">D628*F628</f>
        <v>6247502.49130939</v>
      </c>
      <c r="H628" s="0" t="n">
        <f aca="false">INDEX(마스터!$E:$E,MATCH(C628,마스터!$A:$A,0))</f>
        <v>6040</v>
      </c>
      <c r="I628" s="0" t="n">
        <f aca="false">IF(OR(E628="개정판교체",E628="파본"),0,D628*H628)</f>
        <v>2929400</v>
      </c>
    </row>
    <row r="629" customFormat="false" ht="15" hidden="false" customHeight="false" outlineLevel="0" collapsed="false">
      <c r="A629" s="0" t="s">
        <v>113</v>
      </c>
      <c r="B629" s="1" t="s">
        <v>18</v>
      </c>
      <c r="C629" s="1" t="s">
        <v>55</v>
      </c>
      <c r="D629" s="0" t="n">
        <v>261</v>
      </c>
      <c r="E629" s="1" t="s">
        <v>118</v>
      </c>
      <c r="F629" s="0" t="n">
        <f aca="false">SUMIFS(출고!$F$2:$F$1167,출고!$B$2:$B$1167,B629,출고!$C$2:$C$1167,C629)/SUMIFS(출고!$D$2:$D$1167,출고!$B$2:$B$1167,B629,출고!$C$2:$C$1167,C629)</f>
        <v>12881.4484356895</v>
      </c>
      <c r="G629" s="0" t="n">
        <f aca="false">D629*F629</f>
        <v>3362058.04171495</v>
      </c>
      <c r="H629" s="0" t="n">
        <f aca="false">INDEX(마스터!$E:$E,MATCH(C629,마스터!$A:$A,0))</f>
        <v>6040</v>
      </c>
      <c r="I629" s="0" t="n">
        <f aca="false">IF(OR(E629="개정판교체",E629="파본"),0,D629*H629)</f>
        <v>0</v>
      </c>
    </row>
    <row r="630" customFormat="false" ht="15" hidden="false" customHeight="false" outlineLevel="0" collapsed="false">
      <c r="A630" s="0" t="s">
        <v>113</v>
      </c>
      <c r="B630" s="1" t="s">
        <v>19</v>
      </c>
      <c r="C630" s="1" t="s">
        <v>41</v>
      </c>
      <c r="D630" s="0" t="n">
        <v>775</v>
      </c>
      <c r="E630" s="1" t="s">
        <v>118</v>
      </c>
      <c r="F630" s="0" t="n">
        <f aca="false">SUMIFS(출고!$F$2:$F$1167,출고!$B$2:$B$1167,B630,출고!$C$2:$C$1167,C630)/SUMIFS(출고!$D$2:$D$1167,출고!$B$2:$B$1167,B630,출고!$C$2:$C$1167,C630)</f>
        <v>11026.8192607664</v>
      </c>
      <c r="G630" s="0" t="n">
        <f aca="false">D630*F630</f>
        <v>8545784.92709393</v>
      </c>
      <c r="H630" s="0" t="n">
        <f aca="false">INDEX(마스터!$E:$E,MATCH(C630,마스터!$A:$A,0))</f>
        <v>5480</v>
      </c>
      <c r="I630" s="0" t="n">
        <f aca="false">IF(OR(E630="개정판교체",E630="파본"),0,D630*H630)</f>
        <v>0</v>
      </c>
    </row>
    <row r="631" customFormat="false" ht="15" hidden="false" customHeight="false" outlineLevel="0" collapsed="false">
      <c r="A631" s="0" t="s">
        <v>113</v>
      </c>
      <c r="B631" s="1" t="s">
        <v>19</v>
      </c>
      <c r="C631" s="1" t="s">
        <v>77</v>
      </c>
      <c r="D631" s="0" t="n">
        <v>864</v>
      </c>
      <c r="E631" s="1" t="s">
        <v>116</v>
      </c>
      <c r="F631" s="0" t="n">
        <f aca="false">SUMIFS(출고!$F$2:$F$1167,출고!$B$2:$B$1167,B631,출고!$C$2:$C$1167,C631)/SUMIFS(출고!$D$2:$D$1167,출고!$B$2:$B$1167,B631,출고!$C$2:$C$1167,C631)</f>
        <v>11016.1690450055</v>
      </c>
      <c r="G631" s="0" t="n">
        <f aca="false">D631*F631</f>
        <v>9517970.05488474</v>
      </c>
      <c r="H631" s="0" t="n">
        <f aca="false">INDEX(마스터!$E:$E,MATCH(C631,마스터!$A:$A,0))</f>
        <v>5380</v>
      </c>
      <c r="I631" s="0" t="n">
        <f aca="false">IF(OR(E631="개정판교체",E631="파본"),0,D631*H631)</f>
        <v>4648320</v>
      </c>
    </row>
    <row r="632" customFormat="false" ht="15" hidden="false" customHeight="false" outlineLevel="0" collapsed="false">
      <c r="A632" s="0" t="s">
        <v>113</v>
      </c>
      <c r="B632" s="1" t="s">
        <v>20</v>
      </c>
      <c r="C632" s="1" t="s">
        <v>48</v>
      </c>
      <c r="D632" s="0" t="n">
        <v>414</v>
      </c>
      <c r="E632" s="1" t="s">
        <v>116</v>
      </c>
      <c r="F632" s="0" t="n">
        <f aca="false">SUMIFS(출고!$F$2:$F$1167,출고!$B$2:$B$1167,B632,출고!$C$2:$C$1167,C632)/SUMIFS(출고!$D$2:$D$1167,출고!$B$2:$B$1167,B632,출고!$C$2:$C$1167,C632)</f>
        <v>13114.0930839495</v>
      </c>
      <c r="G632" s="0" t="n">
        <f aca="false">D632*F632</f>
        <v>5429234.53675511</v>
      </c>
      <c r="H632" s="0" t="n">
        <f aca="false">INDEX(마스터!$E:$E,MATCH(C632,마스터!$A:$A,0))</f>
        <v>6440</v>
      </c>
      <c r="I632" s="0" t="n">
        <f aca="false">IF(OR(E632="개정판교체",E632="파본"),0,D632*H632)</f>
        <v>2666160</v>
      </c>
    </row>
    <row r="633" customFormat="false" ht="15" hidden="false" customHeight="false" outlineLevel="0" collapsed="false">
      <c r="A633" s="0" t="s">
        <v>113</v>
      </c>
      <c r="B633" s="1" t="s">
        <v>20</v>
      </c>
      <c r="C633" s="1" t="s">
        <v>48</v>
      </c>
      <c r="D633" s="0" t="n">
        <v>352</v>
      </c>
      <c r="E633" s="1" t="s">
        <v>118</v>
      </c>
      <c r="F633" s="0" t="n">
        <f aca="false">SUMIFS(출고!$F$2:$F$1167,출고!$B$2:$B$1167,B633,출고!$C$2:$C$1167,C633)/SUMIFS(출고!$D$2:$D$1167,출고!$B$2:$B$1167,B633,출고!$C$2:$C$1167,C633)</f>
        <v>13114.0930839495</v>
      </c>
      <c r="G633" s="0" t="n">
        <f aca="false">D633*F633</f>
        <v>4616160.76555024</v>
      </c>
      <c r="H633" s="0" t="n">
        <f aca="false">INDEX(마스터!$E:$E,MATCH(C633,마스터!$A:$A,0))</f>
        <v>6440</v>
      </c>
      <c r="I633" s="0" t="n">
        <f aca="false">IF(OR(E633="개정판교체",E633="파본"),0,D633*H633)</f>
        <v>0</v>
      </c>
    </row>
    <row r="634" customFormat="false" ht="15" hidden="false" customHeight="false" outlineLevel="0" collapsed="false">
      <c r="A634" s="0" t="s">
        <v>113</v>
      </c>
      <c r="B634" s="1" t="s">
        <v>21</v>
      </c>
      <c r="C634" s="1" t="s">
        <v>48</v>
      </c>
      <c r="D634" s="0" t="n">
        <v>447</v>
      </c>
      <c r="E634" s="1" t="s">
        <v>116</v>
      </c>
      <c r="F634" s="0" t="n">
        <f aca="false">SUMIFS(출고!$F$2:$F$1167,출고!$B$2:$B$1167,B634,출고!$C$2:$C$1167,C634)/SUMIFS(출고!$D$2:$D$1167,출고!$B$2:$B$1167,B634,출고!$C$2:$C$1167,C634)</f>
        <v>12961.5133779264</v>
      </c>
      <c r="G634" s="0" t="n">
        <f aca="false">D634*F634</f>
        <v>5793796.47993311</v>
      </c>
      <c r="H634" s="0" t="n">
        <f aca="false">INDEX(마스터!$E:$E,MATCH(C634,마스터!$A:$A,0))</f>
        <v>6440</v>
      </c>
      <c r="I634" s="0" t="n">
        <f aca="false">IF(OR(E634="개정판교체",E634="파본"),0,D634*H634)</f>
        <v>2878680</v>
      </c>
    </row>
    <row r="635" customFormat="false" ht="15" hidden="false" customHeight="false" outlineLevel="0" collapsed="false">
      <c r="A635" s="0" t="s">
        <v>113</v>
      </c>
      <c r="B635" s="1" t="s">
        <v>21</v>
      </c>
      <c r="C635" s="1" t="s">
        <v>48</v>
      </c>
      <c r="D635" s="0" t="n">
        <v>380</v>
      </c>
      <c r="E635" s="1" t="s">
        <v>118</v>
      </c>
      <c r="F635" s="0" t="n">
        <f aca="false">SUMIFS(출고!$F$2:$F$1167,출고!$B$2:$B$1167,B635,출고!$C$2:$C$1167,C635)/SUMIFS(출고!$D$2:$D$1167,출고!$B$2:$B$1167,B635,출고!$C$2:$C$1167,C635)</f>
        <v>12961.5133779264</v>
      </c>
      <c r="G635" s="0" t="n">
        <f aca="false">D635*F635</f>
        <v>4925375.08361204</v>
      </c>
      <c r="H635" s="0" t="n">
        <f aca="false">INDEX(마스터!$E:$E,MATCH(C635,마스터!$A:$A,0))</f>
        <v>6440</v>
      </c>
      <c r="I635" s="0" t="n">
        <f aca="false">IF(OR(E635="개정판교체",E635="파본"),0,D635*H635)</f>
        <v>0</v>
      </c>
    </row>
    <row r="636" customFormat="false" ht="15" hidden="false" customHeight="false" outlineLevel="0" collapsed="false">
      <c r="A636" s="0" t="s">
        <v>113</v>
      </c>
      <c r="B636" s="1" t="s">
        <v>21</v>
      </c>
      <c r="C636" s="1" t="s">
        <v>67</v>
      </c>
      <c r="D636" s="0" t="n">
        <v>952</v>
      </c>
      <c r="E636" s="1" t="s">
        <v>116</v>
      </c>
      <c r="F636" s="0" t="n">
        <f aca="false">SUMIFS(출고!$F$2:$F$1167,출고!$B$2:$B$1167,B636,출고!$C$2:$C$1167,C636)/SUMIFS(출고!$D$2:$D$1167,출고!$B$2:$B$1167,B636,출고!$C$2:$C$1167,C636)</f>
        <v>9801.22335495829</v>
      </c>
      <c r="G636" s="0" t="n">
        <f aca="false">D636*F636</f>
        <v>9330764.6339203</v>
      </c>
      <c r="H636" s="0" t="n">
        <f aca="false">INDEX(마스터!$E:$E,MATCH(C636,마스터!$A:$A,0))</f>
        <v>4360</v>
      </c>
      <c r="I636" s="0" t="n">
        <f aca="false">IF(OR(E636="개정판교체",E636="파본"),0,D636*H636)</f>
        <v>4150720</v>
      </c>
    </row>
    <row r="637" customFormat="false" ht="15" hidden="false" customHeight="false" outlineLevel="0" collapsed="false">
      <c r="A637" s="0" t="s">
        <v>113</v>
      </c>
      <c r="B637" s="1" t="s">
        <v>22</v>
      </c>
      <c r="C637" s="1" t="s">
        <v>42</v>
      </c>
      <c r="D637" s="0" t="n">
        <v>979</v>
      </c>
      <c r="E637" s="1" t="s">
        <v>117</v>
      </c>
      <c r="F637" s="0" t="n">
        <f aca="false">SUMIFS(출고!$F$2:$F$1167,출고!$B$2:$B$1167,B637,출고!$C$2:$C$1167,C637)/SUMIFS(출고!$D$2:$D$1167,출고!$B$2:$B$1167,B637,출고!$C$2:$C$1167,C637)</f>
        <v>13347.9758011772</v>
      </c>
      <c r="G637" s="0" t="n">
        <f aca="false">D637*F637</f>
        <v>13067668.3093525</v>
      </c>
      <c r="H637" s="0" t="n">
        <f aca="false">INDEX(마스터!$E:$E,MATCH(C637,마스터!$A:$A,0))</f>
        <v>6730</v>
      </c>
      <c r="I637" s="0" t="n">
        <f aca="false">IF(OR(E637="개정판교체",E637="파본"),0,D637*H637)</f>
        <v>6588670</v>
      </c>
    </row>
    <row r="638" customFormat="false" ht="15" hidden="false" customHeight="false" outlineLevel="0" collapsed="false">
      <c r="A638" s="0" t="s">
        <v>113</v>
      </c>
      <c r="B638" s="1" t="s">
        <v>22</v>
      </c>
      <c r="C638" s="1" t="s">
        <v>42</v>
      </c>
      <c r="D638" s="0" t="n">
        <v>600</v>
      </c>
      <c r="E638" s="1" t="s">
        <v>118</v>
      </c>
      <c r="F638" s="0" t="n">
        <f aca="false">SUMIFS(출고!$F$2:$F$1167,출고!$B$2:$B$1167,B638,출고!$C$2:$C$1167,C638)/SUMIFS(출고!$D$2:$D$1167,출고!$B$2:$B$1167,B638,출고!$C$2:$C$1167,C638)</f>
        <v>13347.9758011772</v>
      </c>
      <c r="G638" s="0" t="n">
        <f aca="false">D638*F638</f>
        <v>8008785.48070634</v>
      </c>
      <c r="H638" s="0" t="n">
        <f aca="false">INDEX(마스터!$E:$E,MATCH(C638,마스터!$A:$A,0))</f>
        <v>6730</v>
      </c>
      <c r="I638" s="0" t="n">
        <f aca="false">IF(OR(E638="개정판교체",E638="파본"),0,D638*H638)</f>
        <v>0</v>
      </c>
    </row>
    <row r="639" customFormat="false" ht="15" hidden="false" customHeight="false" outlineLevel="0" collapsed="false">
      <c r="A639" s="0" t="s">
        <v>113</v>
      </c>
      <c r="B639" s="1" t="s">
        <v>23</v>
      </c>
      <c r="C639" s="1" t="s">
        <v>59</v>
      </c>
      <c r="D639" s="0" t="n">
        <v>1576</v>
      </c>
      <c r="E639" s="1" t="s">
        <v>116</v>
      </c>
      <c r="F639" s="0" t="n">
        <f aca="false">SUMIFS(출고!$F$2:$F$1167,출고!$B$2:$B$1167,B639,출고!$C$2:$C$1167,C639)/SUMIFS(출고!$D$2:$D$1167,출고!$B$2:$B$1167,B639,출고!$C$2:$C$1167,C639)</f>
        <v>13950.6813683913</v>
      </c>
      <c r="G639" s="0" t="n">
        <f aca="false">D639*F639</f>
        <v>21986273.8365847</v>
      </c>
      <c r="H639" s="0" t="n">
        <f aca="false">INDEX(마스터!$E:$E,MATCH(C639,마스터!$A:$A,0))</f>
        <v>6520</v>
      </c>
      <c r="I639" s="0" t="n">
        <f aca="false">IF(OR(E639="개정판교체",E639="파본"),0,D639*H639)</f>
        <v>10275520</v>
      </c>
    </row>
    <row r="640" customFormat="false" ht="15" hidden="false" customHeight="false" outlineLevel="0" collapsed="false">
      <c r="A640" s="0" t="s">
        <v>113</v>
      </c>
      <c r="B640" s="1" t="s">
        <v>25</v>
      </c>
      <c r="C640" s="1" t="s">
        <v>77</v>
      </c>
      <c r="D640" s="0" t="n">
        <v>1006</v>
      </c>
      <c r="E640" s="1" t="s">
        <v>116</v>
      </c>
      <c r="F640" s="0" t="n">
        <f aca="false">SUMIFS(출고!$F$2:$F$1167,출고!$B$2:$B$1167,B640,출고!$C$2:$C$1167,C640)/SUMIFS(출고!$D$2:$D$1167,출고!$B$2:$B$1167,B640,출고!$C$2:$C$1167,C640)</f>
        <v>11898.9662576687</v>
      </c>
      <c r="G640" s="0" t="n">
        <f aca="false">D640*F640</f>
        <v>11970360.0552147</v>
      </c>
      <c r="H640" s="0" t="n">
        <f aca="false">INDEX(마스터!$E:$E,MATCH(C640,마스터!$A:$A,0))</f>
        <v>5380</v>
      </c>
      <c r="I640" s="0" t="n">
        <f aca="false">IF(OR(E640="개정판교체",E640="파본"),0,D640*H640)</f>
        <v>5412280</v>
      </c>
    </row>
    <row r="641" customFormat="false" ht="15" hidden="false" customHeight="false" outlineLevel="0" collapsed="false">
      <c r="A641" s="0" t="s">
        <v>113</v>
      </c>
      <c r="B641" s="1" t="s">
        <v>24</v>
      </c>
      <c r="C641" s="1" t="s">
        <v>42</v>
      </c>
      <c r="D641" s="0" t="n">
        <v>554</v>
      </c>
      <c r="E641" s="1" t="s">
        <v>116</v>
      </c>
      <c r="F641" s="0" t="n">
        <f aca="false">SUMIFS(출고!$F$2:$F$1167,출고!$B$2:$B$1167,B641,출고!$C$2:$C$1167,C641)/SUMIFS(출고!$D$2:$D$1167,출고!$B$2:$B$1167,B641,출고!$C$2:$C$1167,C641)</f>
        <v>13332.4887780549</v>
      </c>
      <c r="G641" s="0" t="n">
        <f aca="false">D641*F641</f>
        <v>7386198.7830424</v>
      </c>
      <c r="H641" s="0" t="n">
        <f aca="false">INDEX(마스터!$E:$E,MATCH(C641,마스터!$A:$A,0))</f>
        <v>6730</v>
      </c>
      <c r="I641" s="0" t="n">
        <f aca="false">IF(OR(E641="개정판교체",E641="파본"),0,D641*H641)</f>
        <v>3728420</v>
      </c>
    </row>
    <row r="642" customFormat="false" ht="15" hidden="false" customHeight="false" outlineLevel="0" collapsed="false">
      <c r="A642" s="0" t="s">
        <v>113</v>
      </c>
      <c r="B642" s="1" t="s">
        <v>24</v>
      </c>
      <c r="C642" s="1" t="s">
        <v>42</v>
      </c>
      <c r="D642" s="0" t="n">
        <v>339</v>
      </c>
      <c r="E642" s="1" t="s">
        <v>118</v>
      </c>
      <c r="F642" s="0" t="n">
        <f aca="false">SUMIFS(출고!$F$2:$F$1167,출고!$B$2:$B$1167,B642,출고!$C$2:$C$1167,C642)/SUMIFS(출고!$D$2:$D$1167,출고!$B$2:$B$1167,B642,출고!$C$2:$C$1167,C642)</f>
        <v>13332.4887780549</v>
      </c>
      <c r="G642" s="0" t="n">
        <f aca="false">D642*F642</f>
        <v>4519713.6957606</v>
      </c>
      <c r="H642" s="0" t="n">
        <f aca="false">INDEX(마스터!$E:$E,MATCH(C642,마스터!$A:$A,0))</f>
        <v>6730</v>
      </c>
      <c r="I642" s="0" t="n">
        <f aca="false">IF(OR(E642="개정판교체",E642="파본"),0,D642*H642)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</row>
    <row r="2" customFormat="false" ht="15" hidden="false" customHeight="false" outlineLevel="0" collapsed="false">
      <c r="A2" s="1" t="s">
        <v>37</v>
      </c>
      <c r="B2" s="1" t="s">
        <v>126</v>
      </c>
      <c r="C2" s="1" t="s">
        <v>127</v>
      </c>
      <c r="D2" s="0" t="n">
        <v>15000</v>
      </c>
      <c r="E2" s="0" t="n">
        <v>4900</v>
      </c>
    </row>
    <row r="3" customFormat="false" ht="15" hidden="false" customHeight="false" outlineLevel="0" collapsed="false">
      <c r="A3" s="1" t="s">
        <v>49</v>
      </c>
      <c r="B3" s="1" t="s">
        <v>126</v>
      </c>
      <c r="C3" s="1" t="s">
        <v>128</v>
      </c>
      <c r="D3" s="0" t="n">
        <v>15500</v>
      </c>
      <c r="E3" s="0" t="n">
        <v>5430</v>
      </c>
    </row>
    <row r="4" customFormat="false" ht="15" hidden="false" customHeight="false" outlineLevel="0" collapsed="false">
      <c r="A4" s="1" t="s">
        <v>45</v>
      </c>
      <c r="B4" s="1" t="s">
        <v>126</v>
      </c>
      <c r="C4" s="1" t="s">
        <v>129</v>
      </c>
      <c r="D4" s="0" t="n">
        <v>18500</v>
      </c>
      <c r="E4" s="0" t="n">
        <v>6110</v>
      </c>
      <c r="F4" s="0" t="s">
        <v>109</v>
      </c>
    </row>
    <row r="5" customFormat="false" ht="15" hidden="false" customHeight="false" outlineLevel="0" collapsed="false">
      <c r="A5" s="1" t="s">
        <v>41</v>
      </c>
      <c r="B5" s="1" t="s">
        <v>130</v>
      </c>
      <c r="C5" s="1" t="s">
        <v>127</v>
      </c>
      <c r="D5" s="0" t="n">
        <v>17000</v>
      </c>
      <c r="E5" s="0" t="n">
        <v>5480</v>
      </c>
      <c r="F5" s="0" t="s">
        <v>102</v>
      </c>
    </row>
    <row r="6" customFormat="false" ht="15" hidden="false" customHeight="false" outlineLevel="0" collapsed="false">
      <c r="A6" s="1" t="s">
        <v>77</v>
      </c>
      <c r="B6" s="1" t="s">
        <v>130</v>
      </c>
      <c r="C6" s="1" t="s">
        <v>128</v>
      </c>
      <c r="D6" s="0" t="n">
        <v>17000</v>
      </c>
      <c r="E6" s="0" t="n">
        <v>5380</v>
      </c>
    </row>
    <row r="7" customFormat="false" ht="15" hidden="false" customHeight="false" outlineLevel="0" collapsed="false">
      <c r="A7" s="1" t="s">
        <v>63</v>
      </c>
      <c r="B7" s="1" t="s">
        <v>130</v>
      </c>
      <c r="C7" s="1" t="s">
        <v>129</v>
      </c>
      <c r="D7" s="0" t="n">
        <v>16500</v>
      </c>
      <c r="E7" s="0" t="n">
        <v>5290</v>
      </c>
    </row>
    <row r="8" customFormat="false" ht="15" hidden="false" customHeight="false" outlineLevel="0" collapsed="false">
      <c r="A8" s="1" t="s">
        <v>61</v>
      </c>
      <c r="B8" s="1" t="s">
        <v>131</v>
      </c>
      <c r="C8" s="1" t="s">
        <v>127</v>
      </c>
      <c r="D8" s="0" t="n">
        <v>15500</v>
      </c>
      <c r="E8" s="0" t="n">
        <v>5390</v>
      </c>
    </row>
    <row r="9" customFormat="false" ht="15" hidden="false" customHeight="false" outlineLevel="0" collapsed="false">
      <c r="A9" s="1" t="s">
        <v>38</v>
      </c>
      <c r="B9" s="1" t="s">
        <v>131</v>
      </c>
      <c r="C9" s="1" t="s">
        <v>128</v>
      </c>
      <c r="D9" s="0" t="n">
        <v>17500</v>
      </c>
      <c r="E9" s="0" t="n">
        <v>5670</v>
      </c>
      <c r="F9" s="0" t="s">
        <v>84</v>
      </c>
    </row>
    <row r="10" customFormat="false" ht="15" hidden="false" customHeight="false" outlineLevel="0" collapsed="false">
      <c r="A10" s="1" t="s">
        <v>58</v>
      </c>
      <c r="B10" s="1" t="s">
        <v>131</v>
      </c>
      <c r="C10" s="1" t="s">
        <v>129</v>
      </c>
      <c r="D10" s="0" t="n">
        <v>17000</v>
      </c>
      <c r="E10" s="0" t="n">
        <v>5720</v>
      </c>
    </row>
    <row r="11" customFormat="false" ht="15" hidden="false" customHeight="false" outlineLevel="0" collapsed="false">
      <c r="A11" s="1" t="s">
        <v>32</v>
      </c>
      <c r="B11" s="1" t="s">
        <v>132</v>
      </c>
      <c r="C11" s="1" t="s">
        <v>127</v>
      </c>
      <c r="D11" s="0" t="n">
        <v>17000</v>
      </c>
      <c r="E11" s="0" t="n">
        <v>5790</v>
      </c>
    </row>
    <row r="12" customFormat="false" ht="15" hidden="false" customHeight="false" outlineLevel="0" collapsed="false">
      <c r="A12" s="1" t="s">
        <v>74</v>
      </c>
      <c r="B12" s="1" t="s">
        <v>132</v>
      </c>
      <c r="C12" s="1" t="s">
        <v>128</v>
      </c>
      <c r="D12" s="0" t="n">
        <v>17000</v>
      </c>
      <c r="E12" s="0" t="n">
        <v>5400</v>
      </c>
    </row>
    <row r="13" customFormat="false" ht="15" hidden="false" customHeight="false" outlineLevel="0" collapsed="false">
      <c r="A13" s="1" t="s">
        <v>70</v>
      </c>
      <c r="B13" s="1" t="s">
        <v>132</v>
      </c>
      <c r="C13" s="1" t="s">
        <v>129</v>
      </c>
      <c r="D13" s="0" t="n">
        <v>17500</v>
      </c>
      <c r="E13" s="0" t="n">
        <v>5960</v>
      </c>
    </row>
    <row r="14" customFormat="false" ht="15" hidden="false" customHeight="false" outlineLevel="0" collapsed="false">
      <c r="A14" s="1" t="s">
        <v>82</v>
      </c>
      <c r="B14" s="1" t="s">
        <v>133</v>
      </c>
      <c r="C14" s="1" t="s">
        <v>127</v>
      </c>
      <c r="D14" s="0" t="n">
        <v>16000</v>
      </c>
      <c r="E14" s="0" t="n">
        <v>5660</v>
      </c>
    </row>
    <row r="15" customFormat="false" ht="15" hidden="false" customHeight="false" outlineLevel="0" collapsed="false">
      <c r="A15" s="1" t="s">
        <v>99</v>
      </c>
      <c r="B15" s="1" t="s">
        <v>133</v>
      </c>
      <c r="C15" s="1" t="s">
        <v>128</v>
      </c>
      <c r="D15" s="0" t="n">
        <v>17500</v>
      </c>
      <c r="E15" s="0" t="n">
        <v>5750</v>
      </c>
    </row>
    <row r="16" customFormat="false" ht="15" hidden="false" customHeight="false" outlineLevel="0" collapsed="false">
      <c r="A16" s="1" t="s">
        <v>79</v>
      </c>
      <c r="B16" s="1" t="s">
        <v>133</v>
      </c>
      <c r="C16" s="1" t="s">
        <v>129</v>
      </c>
      <c r="D16" s="0" t="n">
        <v>17000</v>
      </c>
      <c r="E16" s="0" t="n">
        <v>5990</v>
      </c>
    </row>
    <row r="17" customFormat="false" ht="15" hidden="false" customHeight="false" outlineLevel="0" collapsed="false">
      <c r="A17" s="1" t="s">
        <v>39</v>
      </c>
      <c r="B17" s="1" t="s">
        <v>126</v>
      </c>
      <c r="C17" s="1" t="s">
        <v>127</v>
      </c>
      <c r="D17" s="0" t="n">
        <v>17000</v>
      </c>
      <c r="E17" s="0" t="n">
        <v>5660</v>
      </c>
    </row>
    <row r="18" customFormat="false" ht="15" hidden="false" customHeight="false" outlineLevel="0" collapsed="false">
      <c r="A18" s="1" t="s">
        <v>56</v>
      </c>
      <c r="B18" s="1" t="s">
        <v>126</v>
      </c>
      <c r="C18" s="1" t="s">
        <v>128</v>
      </c>
      <c r="D18" s="0" t="n">
        <v>15500</v>
      </c>
      <c r="E18" s="0" t="n">
        <v>5470</v>
      </c>
    </row>
    <row r="19" customFormat="false" ht="15" hidden="false" customHeight="false" outlineLevel="0" collapsed="false">
      <c r="A19" s="1" t="s">
        <v>81</v>
      </c>
      <c r="B19" s="1" t="s">
        <v>126</v>
      </c>
      <c r="C19" s="1" t="s">
        <v>129</v>
      </c>
      <c r="D19" s="0" t="n">
        <v>18000</v>
      </c>
      <c r="E19" s="0" t="n">
        <v>6220</v>
      </c>
    </row>
    <row r="20" customFormat="false" ht="15" hidden="false" customHeight="false" outlineLevel="0" collapsed="false">
      <c r="A20" s="1" t="s">
        <v>92</v>
      </c>
      <c r="B20" s="1" t="s">
        <v>131</v>
      </c>
      <c r="C20" s="1" t="s">
        <v>127</v>
      </c>
      <c r="D20" s="0" t="n">
        <v>17000</v>
      </c>
      <c r="E20" s="0" t="n">
        <v>5650</v>
      </c>
    </row>
    <row r="21" customFormat="false" ht="15" hidden="false" customHeight="false" outlineLevel="0" collapsed="false">
      <c r="A21" s="1" t="s">
        <v>72</v>
      </c>
      <c r="B21" s="1" t="s">
        <v>131</v>
      </c>
      <c r="C21" s="1" t="s">
        <v>128</v>
      </c>
      <c r="D21" s="0" t="n">
        <v>17500</v>
      </c>
      <c r="E21" s="0" t="n">
        <v>5920</v>
      </c>
    </row>
    <row r="22" customFormat="false" ht="15" hidden="false" customHeight="false" outlineLevel="0" collapsed="false">
      <c r="A22" s="1" t="s">
        <v>66</v>
      </c>
      <c r="B22" s="1" t="s">
        <v>131</v>
      </c>
      <c r="C22" s="1" t="s">
        <v>129</v>
      </c>
      <c r="D22" s="0" t="n">
        <v>18500</v>
      </c>
      <c r="E22" s="0" t="n">
        <v>6360</v>
      </c>
      <c r="F22" s="0" t="s">
        <v>97</v>
      </c>
    </row>
    <row r="23" customFormat="false" ht="15" hidden="false" customHeight="false" outlineLevel="0" collapsed="false">
      <c r="A23" s="1" t="s">
        <v>100</v>
      </c>
      <c r="B23" s="1" t="s">
        <v>133</v>
      </c>
      <c r="C23" s="1" t="s">
        <v>128</v>
      </c>
      <c r="D23" s="0" t="n">
        <v>16500</v>
      </c>
      <c r="E23" s="0" t="n">
        <v>5720</v>
      </c>
    </row>
    <row r="24" customFormat="false" ht="15" hidden="false" customHeight="false" outlineLevel="0" collapsed="false">
      <c r="A24" s="1" t="s">
        <v>43</v>
      </c>
      <c r="B24" s="1" t="s">
        <v>133</v>
      </c>
      <c r="C24" s="1" t="s">
        <v>129</v>
      </c>
      <c r="D24" s="0" t="n">
        <v>18000</v>
      </c>
      <c r="E24" s="0" t="n">
        <v>6350</v>
      </c>
    </row>
    <row r="25" customFormat="false" ht="15" hidden="false" customHeight="false" outlineLevel="0" collapsed="false">
      <c r="A25" s="1" t="s">
        <v>75</v>
      </c>
      <c r="B25" s="1" t="s">
        <v>130</v>
      </c>
      <c r="C25" s="1" t="s">
        <v>128</v>
      </c>
      <c r="D25" s="0" t="n">
        <v>17000</v>
      </c>
      <c r="E25" s="0" t="n">
        <v>5440</v>
      </c>
    </row>
    <row r="26" customFormat="false" ht="15" hidden="false" customHeight="false" outlineLevel="0" collapsed="false">
      <c r="A26" s="1" t="s">
        <v>90</v>
      </c>
      <c r="B26" s="1" t="s">
        <v>130</v>
      </c>
      <c r="C26" s="1" t="s">
        <v>129</v>
      </c>
      <c r="D26" s="0" t="n">
        <v>16500</v>
      </c>
      <c r="E26" s="0" t="n">
        <v>5290</v>
      </c>
    </row>
    <row r="27" customFormat="false" ht="15" hidden="false" customHeight="false" outlineLevel="0" collapsed="false">
      <c r="A27" s="1" t="s">
        <v>71</v>
      </c>
      <c r="B27" s="1" t="s">
        <v>126</v>
      </c>
      <c r="C27" s="1" t="s">
        <v>134</v>
      </c>
      <c r="D27" s="0" t="n">
        <v>13000</v>
      </c>
      <c r="E27" s="0" t="n">
        <v>4330</v>
      </c>
      <c r="F27" s="0" t="s">
        <v>135</v>
      </c>
    </row>
    <row r="28" customFormat="false" ht="15" hidden="false" customHeight="false" outlineLevel="0" collapsed="false">
      <c r="A28" s="1" t="s">
        <v>80</v>
      </c>
      <c r="B28" s="1" t="s">
        <v>126</v>
      </c>
      <c r="C28" s="1" t="s">
        <v>136</v>
      </c>
      <c r="D28" s="0" t="n">
        <v>14000</v>
      </c>
      <c r="E28" s="0" t="n">
        <v>4690</v>
      </c>
    </row>
    <row r="29" customFormat="false" ht="15" hidden="false" customHeight="false" outlineLevel="0" collapsed="false">
      <c r="A29" s="1" t="s">
        <v>68</v>
      </c>
      <c r="B29" s="1" t="s">
        <v>131</v>
      </c>
      <c r="C29" s="1" t="s">
        <v>134</v>
      </c>
      <c r="D29" s="0" t="n">
        <v>15000</v>
      </c>
      <c r="E29" s="0" t="n">
        <v>4880</v>
      </c>
    </row>
    <row r="30" customFormat="false" ht="15" hidden="false" customHeight="false" outlineLevel="0" collapsed="false">
      <c r="A30" s="1" t="s">
        <v>47</v>
      </c>
      <c r="B30" s="1" t="s">
        <v>131</v>
      </c>
      <c r="C30" s="1" t="s">
        <v>136</v>
      </c>
      <c r="D30" s="0" t="n">
        <v>13000</v>
      </c>
      <c r="E30" s="0" t="n">
        <v>4170</v>
      </c>
      <c r="F30" s="0" t="s">
        <v>93</v>
      </c>
    </row>
    <row r="31" customFormat="false" ht="15" hidden="false" customHeight="false" outlineLevel="0" collapsed="false">
      <c r="A31" s="1" t="s">
        <v>95</v>
      </c>
      <c r="B31" s="1" t="s">
        <v>132</v>
      </c>
      <c r="C31" s="1" t="s">
        <v>134</v>
      </c>
      <c r="D31" s="0" t="n">
        <v>13000</v>
      </c>
      <c r="E31" s="0" t="n">
        <v>4420</v>
      </c>
    </row>
    <row r="32" customFormat="false" ht="15" hidden="false" customHeight="false" outlineLevel="0" collapsed="false">
      <c r="A32" s="1" t="s">
        <v>83</v>
      </c>
      <c r="B32" s="1" t="s">
        <v>132</v>
      </c>
      <c r="C32" s="1" t="s">
        <v>136</v>
      </c>
      <c r="D32" s="0" t="n">
        <v>14000</v>
      </c>
      <c r="E32" s="0" t="n">
        <v>4460</v>
      </c>
    </row>
    <row r="33" customFormat="false" ht="15" hidden="false" customHeight="false" outlineLevel="0" collapsed="false">
      <c r="A33" s="1" t="s">
        <v>137</v>
      </c>
      <c r="B33" s="1" t="s">
        <v>133</v>
      </c>
      <c r="C33" s="1" t="s">
        <v>134</v>
      </c>
      <c r="D33" s="0" t="n">
        <v>14000</v>
      </c>
      <c r="E33" s="0" t="n">
        <v>4330</v>
      </c>
    </row>
    <row r="34" customFormat="false" ht="15" hidden="false" customHeight="false" outlineLevel="0" collapsed="false">
      <c r="A34" s="1" t="s">
        <v>67</v>
      </c>
      <c r="B34" s="1" t="s">
        <v>133</v>
      </c>
      <c r="C34" s="1" t="s">
        <v>136</v>
      </c>
      <c r="D34" s="0" t="n">
        <v>14000</v>
      </c>
      <c r="E34" s="0" t="n">
        <v>4360</v>
      </c>
    </row>
    <row r="35" customFormat="false" ht="15" hidden="false" customHeight="false" outlineLevel="0" collapsed="false">
      <c r="A35" s="1" t="s">
        <v>40</v>
      </c>
      <c r="B35" s="1" t="s">
        <v>130</v>
      </c>
      <c r="C35" s="1" t="s">
        <v>134</v>
      </c>
      <c r="D35" s="0" t="n">
        <v>14000</v>
      </c>
      <c r="E35" s="0" t="n">
        <v>4740</v>
      </c>
    </row>
    <row r="36" customFormat="false" ht="15" hidden="false" customHeight="false" outlineLevel="0" collapsed="false">
      <c r="A36" s="1" t="s">
        <v>57</v>
      </c>
      <c r="B36" s="1" t="s">
        <v>130</v>
      </c>
      <c r="C36" s="1" t="s">
        <v>136</v>
      </c>
      <c r="D36" s="0" t="n">
        <v>15000</v>
      </c>
      <c r="E36" s="0" t="n">
        <v>4870</v>
      </c>
    </row>
    <row r="37" customFormat="false" ht="15" hidden="false" customHeight="false" outlineLevel="0" collapsed="false">
      <c r="A37" s="1" t="s">
        <v>36</v>
      </c>
      <c r="B37" s="1" t="s">
        <v>130</v>
      </c>
      <c r="C37" s="1" t="s">
        <v>134</v>
      </c>
      <c r="D37" s="0" t="n">
        <v>14500</v>
      </c>
      <c r="E37" s="0" t="n">
        <v>4540</v>
      </c>
      <c r="F37" s="0" t="s">
        <v>138</v>
      </c>
    </row>
    <row r="38" customFormat="false" ht="15" hidden="false" customHeight="false" outlineLevel="0" collapsed="false">
      <c r="A38" s="1" t="s">
        <v>85</v>
      </c>
      <c r="B38" s="1" t="s">
        <v>130</v>
      </c>
      <c r="C38" s="1" t="s">
        <v>136</v>
      </c>
      <c r="D38" s="0" t="n">
        <v>13500</v>
      </c>
      <c r="E38" s="0" t="n">
        <v>4380</v>
      </c>
    </row>
    <row r="39" customFormat="false" ht="15" hidden="false" customHeight="false" outlineLevel="0" collapsed="false">
      <c r="A39" s="1" t="s">
        <v>52</v>
      </c>
      <c r="B39" s="1" t="s">
        <v>130</v>
      </c>
      <c r="C39" s="1" t="s">
        <v>127</v>
      </c>
      <c r="D39" s="0" t="n">
        <v>16000</v>
      </c>
      <c r="E39" s="0" t="n">
        <v>5110</v>
      </c>
    </row>
    <row r="40" customFormat="false" ht="15" hidden="false" customHeight="false" outlineLevel="0" collapsed="false">
      <c r="A40" s="1" t="s">
        <v>76</v>
      </c>
      <c r="B40" s="1" t="s">
        <v>131</v>
      </c>
      <c r="C40" s="1" t="s">
        <v>134</v>
      </c>
      <c r="D40" s="0" t="n">
        <v>13500</v>
      </c>
      <c r="E40" s="0" t="n">
        <v>4150</v>
      </c>
    </row>
    <row r="41" customFormat="false" ht="15" hidden="false" customHeight="false" outlineLevel="0" collapsed="false">
      <c r="A41" s="1" t="s">
        <v>35</v>
      </c>
      <c r="B41" s="1" t="s">
        <v>131</v>
      </c>
      <c r="C41" s="1" t="s">
        <v>136</v>
      </c>
      <c r="D41" s="0" t="n">
        <v>15000</v>
      </c>
      <c r="E41" s="0" t="n">
        <v>4920</v>
      </c>
    </row>
    <row r="42" customFormat="false" ht="15" hidden="false" customHeight="false" outlineLevel="0" collapsed="false">
      <c r="A42" s="1" t="s">
        <v>88</v>
      </c>
      <c r="B42" s="1" t="s">
        <v>131</v>
      </c>
      <c r="C42" s="1" t="s">
        <v>127</v>
      </c>
      <c r="D42" s="0" t="n">
        <v>17000</v>
      </c>
      <c r="E42" s="0" t="n">
        <v>5930</v>
      </c>
    </row>
    <row r="43" customFormat="false" ht="15" hidden="false" customHeight="false" outlineLevel="0" collapsed="false">
      <c r="A43" s="1" t="s">
        <v>44</v>
      </c>
      <c r="B43" s="1" t="s">
        <v>131</v>
      </c>
      <c r="C43" s="1" t="s">
        <v>128</v>
      </c>
      <c r="D43" s="0" t="n">
        <v>17000</v>
      </c>
      <c r="E43" s="0" t="n">
        <v>5500</v>
      </c>
    </row>
    <row r="44" customFormat="false" ht="15" hidden="false" customHeight="false" outlineLevel="0" collapsed="false">
      <c r="A44" s="1" t="s">
        <v>53</v>
      </c>
      <c r="B44" s="1" t="s">
        <v>126</v>
      </c>
      <c r="C44" s="1" t="s">
        <v>139</v>
      </c>
      <c r="D44" s="0" t="n">
        <v>19500</v>
      </c>
      <c r="E44" s="0" t="n">
        <v>6630</v>
      </c>
    </row>
    <row r="45" customFormat="false" ht="15" hidden="false" customHeight="false" outlineLevel="0" collapsed="false">
      <c r="A45" s="1" t="s">
        <v>86</v>
      </c>
      <c r="B45" s="1" t="s">
        <v>126</v>
      </c>
      <c r="C45" s="1" t="s">
        <v>140</v>
      </c>
      <c r="D45" s="0" t="n">
        <v>18500</v>
      </c>
      <c r="E45" s="0" t="n">
        <v>6430</v>
      </c>
    </row>
    <row r="46" customFormat="false" ht="15" hidden="false" customHeight="false" outlineLevel="0" collapsed="false">
      <c r="A46" s="1" t="s">
        <v>60</v>
      </c>
      <c r="B46" s="1" t="s">
        <v>130</v>
      </c>
      <c r="C46" s="1" t="s">
        <v>139</v>
      </c>
      <c r="D46" s="0" t="n">
        <v>19500</v>
      </c>
      <c r="E46" s="0" t="n">
        <v>6980</v>
      </c>
      <c r="F46" s="0" t="s">
        <v>106</v>
      </c>
    </row>
    <row r="47" customFormat="false" ht="15" hidden="false" customHeight="false" outlineLevel="0" collapsed="false">
      <c r="A47" s="1" t="s">
        <v>46</v>
      </c>
      <c r="B47" s="1" t="s">
        <v>130</v>
      </c>
      <c r="C47" s="1" t="s">
        <v>140</v>
      </c>
      <c r="D47" s="0" t="n">
        <v>20500</v>
      </c>
      <c r="E47" s="0" t="n">
        <v>6910</v>
      </c>
    </row>
    <row r="48" customFormat="false" ht="15" hidden="false" customHeight="false" outlineLevel="0" collapsed="false">
      <c r="A48" s="1" t="s">
        <v>33</v>
      </c>
      <c r="B48" s="1" t="s">
        <v>131</v>
      </c>
      <c r="C48" s="1" t="s">
        <v>139</v>
      </c>
      <c r="D48" s="0" t="n">
        <v>19000</v>
      </c>
      <c r="E48" s="0" t="n">
        <v>6790</v>
      </c>
    </row>
    <row r="49" customFormat="false" ht="15" hidden="false" customHeight="false" outlineLevel="0" collapsed="false">
      <c r="A49" s="1" t="s">
        <v>59</v>
      </c>
      <c r="B49" s="1" t="s">
        <v>131</v>
      </c>
      <c r="C49" s="1" t="s">
        <v>140</v>
      </c>
      <c r="D49" s="0" t="n">
        <v>20000</v>
      </c>
      <c r="E49" s="0" t="n">
        <v>6520</v>
      </c>
    </row>
    <row r="50" customFormat="false" ht="15" hidden="false" customHeight="false" outlineLevel="0" collapsed="false">
      <c r="A50" s="1" t="s">
        <v>50</v>
      </c>
      <c r="B50" s="1" t="s">
        <v>132</v>
      </c>
      <c r="C50" s="1" t="s">
        <v>139</v>
      </c>
      <c r="D50" s="0" t="n">
        <v>20000</v>
      </c>
      <c r="E50" s="0" t="n">
        <v>6770</v>
      </c>
    </row>
    <row r="51" customFormat="false" ht="15" hidden="false" customHeight="false" outlineLevel="0" collapsed="false">
      <c r="A51" s="1" t="s">
        <v>112</v>
      </c>
      <c r="B51" s="1" t="s">
        <v>132</v>
      </c>
      <c r="C51" s="1" t="s">
        <v>140</v>
      </c>
      <c r="D51" s="0" t="n">
        <v>19000</v>
      </c>
      <c r="E51" s="0" t="n">
        <v>6470</v>
      </c>
    </row>
    <row r="52" customFormat="false" ht="15" hidden="false" customHeight="false" outlineLevel="0" collapsed="false">
      <c r="A52" s="1" t="s">
        <v>108</v>
      </c>
      <c r="B52" s="1" t="s">
        <v>133</v>
      </c>
      <c r="C52" s="1" t="s">
        <v>139</v>
      </c>
      <c r="D52" s="0" t="n">
        <v>20500</v>
      </c>
      <c r="E52" s="0" t="n">
        <v>7290</v>
      </c>
    </row>
    <row r="53" customFormat="false" ht="15" hidden="false" customHeight="false" outlineLevel="0" collapsed="false">
      <c r="A53" s="1" t="s">
        <v>69</v>
      </c>
      <c r="B53" s="1" t="s">
        <v>133</v>
      </c>
      <c r="C53" s="1" t="s">
        <v>140</v>
      </c>
      <c r="D53" s="0" t="n">
        <v>18000</v>
      </c>
      <c r="E53" s="0" t="n">
        <v>6140</v>
      </c>
    </row>
    <row r="54" customFormat="false" ht="15" hidden="false" customHeight="false" outlineLevel="0" collapsed="false">
      <c r="A54" s="1" t="s">
        <v>34</v>
      </c>
      <c r="B54" s="1" t="s">
        <v>126</v>
      </c>
      <c r="C54" s="1" t="s">
        <v>139</v>
      </c>
      <c r="D54" s="0" t="n">
        <v>18500</v>
      </c>
      <c r="E54" s="0" t="n">
        <v>6630</v>
      </c>
    </row>
    <row r="55" customFormat="false" ht="15" hidden="false" customHeight="false" outlineLevel="0" collapsed="false">
      <c r="A55" s="1" t="s">
        <v>65</v>
      </c>
      <c r="B55" s="1" t="s">
        <v>126</v>
      </c>
      <c r="C55" s="1" t="s">
        <v>140</v>
      </c>
      <c r="D55" s="0" t="n">
        <v>20500</v>
      </c>
      <c r="E55" s="0" t="n">
        <v>6670</v>
      </c>
    </row>
    <row r="56" customFormat="false" ht="15" hidden="false" customHeight="false" outlineLevel="0" collapsed="false">
      <c r="A56" s="1" t="s">
        <v>55</v>
      </c>
      <c r="B56" s="1" t="s">
        <v>130</v>
      </c>
      <c r="C56" s="1" t="s">
        <v>139</v>
      </c>
      <c r="D56" s="0" t="n">
        <v>18500</v>
      </c>
      <c r="E56" s="0" t="n">
        <v>6040</v>
      </c>
    </row>
    <row r="57" customFormat="false" ht="15" hidden="false" customHeight="false" outlineLevel="0" collapsed="false">
      <c r="A57" s="1" t="s">
        <v>51</v>
      </c>
      <c r="B57" s="1" t="s">
        <v>130</v>
      </c>
      <c r="C57" s="1" t="s">
        <v>140</v>
      </c>
      <c r="D57" s="0" t="n">
        <v>20500</v>
      </c>
      <c r="E57" s="0" t="n">
        <v>7480</v>
      </c>
    </row>
    <row r="58" customFormat="false" ht="15" hidden="false" customHeight="false" outlineLevel="0" collapsed="false">
      <c r="A58" s="1" t="s">
        <v>48</v>
      </c>
      <c r="B58" s="1" t="s">
        <v>131</v>
      </c>
      <c r="C58" s="1" t="s">
        <v>139</v>
      </c>
      <c r="D58" s="0" t="n">
        <v>18500</v>
      </c>
      <c r="E58" s="0" t="n">
        <v>6440</v>
      </c>
    </row>
    <row r="59" customFormat="false" ht="15" hidden="false" customHeight="false" outlineLevel="0" collapsed="false">
      <c r="A59" s="1" t="s">
        <v>42</v>
      </c>
      <c r="B59" s="1" t="s">
        <v>131</v>
      </c>
      <c r="C59" s="1" t="s">
        <v>140</v>
      </c>
      <c r="D59" s="0" t="n">
        <v>19000</v>
      </c>
      <c r="E59" s="0" t="n">
        <v>6730</v>
      </c>
      <c r="F59" s="0" t="s">
        <v>141</v>
      </c>
    </row>
    <row r="60" customFormat="false" ht="15" hidden="false" customHeight="false" outlineLevel="0" collapsed="false">
      <c r="A60" s="1" t="s">
        <v>64</v>
      </c>
      <c r="B60" s="1" t="s">
        <v>133</v>
      </c>
      <c r="C60" s="1" t="s">
        <v>139</v>
      </c>
      <c r="D60" s="0" t="n">
        <v>18000</v>
      </c>
      <c r="E60" s="0" t="n">
        <v>5890</v>
      </c>
    </row>
    <row r="61" customFormat="false" ht="15" hidden="false" customHeight="false" outlineLevel="0" collapsed="false">
      <c r="A61" s="1" t="s">
        <v>54</v>
      </c>
      <c r="B61" s="1" t="s">
        <v>133</v>
      </c>
      <c r="C61" s="1" t="s">
        <v>140</v>
      </c>
      <c r="D61" s="0" t="n">
        <v>19000</v>
      </c>
      <c r="E61" s="0" t="n">
        <v>6790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2026-10-03T13:50:11Z</dcterms:created>
  <dc:creator>openpyxl</dc:creator>
  <dc:description/>
  <dc:language>en-US</dc:language>
  <cp:lastModifiedBy/>
  <dcterms:modified xsi:type="dcterms:W3CDTF">2026-10-03T13:50:11Z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